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URATION" sheetId="1" state="visible" r:id="rId1"/>
    <sheet name="TABLEAU DE BORD" sheetId="2" state="visible" r:id="rId2"/>
    <sheet name="Janvier" sheetId="3" state="visible" r:id="rId3"/>
    <sheet name="Février" sheetId="4" state="visible" r:id="rId4"/>
    <sheet name="Mars" sheetId="5" state="visible" r:id="rId5"/>
    <sheet name="Avril" sheetId="6" state="visible" r:id="rId6"/>
    <sheet name="Mai" sheetId="7" state="visible" r:id="rId7"/>
    <sheet name="Juin" sheetId="8" state="visible" r:id="rId8"/>
    <sheet name="Juillet" sheetId="9" state="visible" r:id="rId9"/>
    <sheet name="Août" sheetId="10" state="visible" r:id="rId10"/>
    <sheet name="Septembre" sheetId="11" state="visible" r:id="rId11"/>
    <sheet name="Octobre" sheetId="12" state="visible" r:id="rId12"/>
    <sheet name="Novembre" sheetId="13" state="visible" r:id="rId13"/>
    <sheet name="Décembre" sheetId="14" state="visible" r:id="rId1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000"/>
    <numFmt numFmtId="165" formatCode="yyyy-mm-dd h:mm:ss"/>
    <numFmt numFmtId="166" formatCode="dd/mm/yyyy"/>
  </numFmts>
  <fonts count="3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"/>
      <charset val="1"/>
      <family val="0"/>
      <b val="1"/>
      <sz val="16"/>
    </font>
    <font>
      <name val="Aptos"/>
      <charset val="1"/>
      <family val="0"/>
      <color theme="1"/>
      <sz val="11"/>
    </font>
    <font>
      <name val="Aptos"/>
      <charset val="1"/>
      <family val="0"/>
      <b val="1"/>
      <color rgb="FFFFFFFF"/>
      <sz val="12"/>
    </font>
    <font>
      <name val="Aptos"/>
      <charset val="1"/>
      <family val="0"/>
      <b val="1"/>
      <color rgb="FF283593"/>
      <sz val="14"/>
    </font>
    <font>
      <name val="Aptos"/>
      <charset val="1"/>
      <family val="0"/>
      <b val="1"/>
      <color rgb="FFFFFFFF"/>
      <sz val="10"/>
    </font>
    <font>
      <name val="Aptos"/>
      <charset val="1"/>
      <family val="0"/>
      <b val="1"/>
      <color rgb="FF283593"/>
      <sz val="11"/>
    </font>
    <font>
      <name val="Aptos"/>
      <charset val="1"/>
      <family val="0"/>
      <sz val="10"/>
    </font>
    <font>
      <name val="Aptos"/>
      <charset val="1"/>
      <family val="0"/>
      <b val="1"/>
      <color rgb="FF283593"/>
      <sz val="10"/>
    </font>
    <font>
      <name val="Aptos"/>
      <charset val="1"/>
      <family val="0"/>
      <sz val="11"/>
    </font>
    <font>
      <name val="Aptos"/>
      <charset val="1"/>
      <family val="0"/>
      <b val="1"/>
      <sz val="11"/>
    </font>
    <font>
      <name val="Aptos"/>
      <charset val="1"/>
      <family val="0"/>
      <b val="1"/>
      <sz val="14"/>
    </font>
    <font>
      <name val="Aptos"/>
      <charset val="1"/>
      <family val="0"/>
      <b val="1"/>
      <color rgb="FF0070C0"/>
      <sz val="8"/>
    </font>
    <font>
      <name val="Aptos"/>
      <charset val="1"/>
      <family val="0"/>
      <sz val="8"/>
    </font>
    <font>
      <name val="Aptos"/>
      <charset val="1"/>
      <family val="0"/>
      <b val="1"/>
      <sz val="10"/>
    </font>
    <font>
      <name val="Aptos"/>
      <sz val="10"/>
    </font>
    <font>
      <name val="Aptos"/>
      <b val="1"/>
      <color rgb="00000000"/>
    </font>
    <font>
      <name val="Aptos"/>
      <sz val="11"/>
    </font>
    <font/>
    <font>
      <name val="Aptos"/>
      <color rgb="00000000"/>
      <sz val="11"/>
    </font>
    <font>
      <name val="Aptos"/>
      <b val="1"/>
      <color rgb="00000000"/>
      <sz val="11"/>
    </font>
    <font>
      <b val="1"/>
      <sz val="11"/>
    </font>
    <font>
      <name val="Aptos"/>
      <b val="1"/>
      <color rgb="00FFFFFF"/>
      <sz val="10"/>
    </font>
    <font>
      <name val="Aptos"/>
      <color rgb="00000000"/>
      <sz val="10"/>
    </font>
    <font>
      <name val="Aptos"/>
      <b val="1"/>
      <sz val="10"/>
    </font>
    <font>
      <name val="Aptos"/>
      <b val="1"/>
      <color rgb="000070C0"/>
      <sz val="8"/>
    </font>
    <font>
      <name val="Aptos"/>
      <color rgb="00000000"/>
      <sz val="8"/>
    </font>
    <font>
      <name val="Aptos"/>
      <b val="1"/>
      <color rgb="00000000"/>
      <sz val="10"/>
    </font>
    <font>
      <b val="1"/>
      <sz val="12"/>
    </font>
  </fonts>
  <fills count="44">
    <fill>
      <patternFill/>
    </fill>
    <fill>
      <patternFill patternType="gray125"/>
    </fill>
    <fill>
      <patternFill patternType="solid">
        <fgColor rgb="FF366092"/>
        <bgColor rgb="FF4472C4"/>
      </patternFill>
    </fill>
    <fill>
      <patternFill patternType="solid">
        <fgColor rgb="FFFFF2CC"/>
        <bgColor rgb="FFFFE6CC"/>
      </patternFill>
    </fill>
    <fill>
      <patternFill patternType="solid">
        <fgColor rgb="FF4472C4"/>
        <bgColor rgb="FF366092"/>
      </patternFill>
    </fill>
    <fill>
      <patternFill patternType="solid">
        <fgColor rgb="FFFFD9E6"/>
        <bgColor rgb="FFFFE6F0"/>
      </patternFill>
    </fill>
    <fill>
      <patternFill patternType="solid">
        <fgColor rgb="FFFFE6F0"/>
        <bgColor rgb="FFFFD9E6"/>
      </patternFill>
    </fill>
    <fill>
      <patternFill patternType="solid">
        <fgColor rgb="FFD9E6FF"/>
        <bgColor rgb="FFD9E1F2"/>
      </patternFill>
    </fill>
    <fill>
      <patternFill patternType="solid">
        <fgColor rgb="FFE6F0FF"/>
        <bgColor rgb="FFF0F0F0"/>
      </patternFill>
    </fill>
    <fill>
      <patternFill patternType="solid">
        <fgColor rgb="FFFFE6CC"/>
        <bgColor rgb="FFFFF2CC"/>
      </patternFill>
    </fill>
    <fill>
      <patternFill patternType="solid">
        <fgColor rgb="FFD9F2D9"/>
        <bgColor rgb="FFE2EFDA"/>
      </patternFill>
    </fill>
    <fill>
      <patternFill patternType="solid">
        <fgColor rgb="FFE6D9FF"/>
        <bgColor rgb="FFD9E1F2"/>
      </patternFill>
    </fill>
    <fill>
      <patternFill patternType="solid">
        <fgColor rgb="FFFFFFCC"/>
        <bgColor rgb="FFFFF2CC"/>
      </patternFill>
    </fill>
    <fill>
      <patternFill patternType="solid">
        <fgColor rgb="FFCCCCCC"/>
        <bgColor rgb="FFC9C9C9"/>
      </patternFill>
    </fill>
    <fill>
      <patternFill patternType="solid">
        <fgColor rgb="FFD5D5D5"/>
        <bgColor rgb="FFCCCCCC"/>
      </patternFill>
    </fill>
    <fill>
      <patternFill patternType="solid">
        <fgColor rgb="FFC9C9C9"/>
        <bgColor rgb="FFCCCCCC"/>
      </patternFill>
    </fill>
    <fill>
      <patternFill patternType="solid">
        <fgColor rgb="FFF0F0F0"/>
        <bgColor rgb="FFE6F0FF"/>
      </patternFill>
    </fill>
    <fill>
      <patternFill patternType="solid">
        <fgColor rgb="FF9BD1CB"/>
        <bgColor rgb="FFB4C7E7"/>
      </patternFill>
    </fill>
    <fill>
      <patternFill patternType="solid">
        <fgColor rgb="FFD9E1F2"/>
        <bgColor rgb="FFD9E6FF"/>
      </patternFill>
    </fill>
    <fill>
      <patternFill patternType="solid">
        <fgColor rgb="FFFFC7CE"/>
        <bgColor rgb="FFFFD9E6"/>
      </patternFill>
    </fill>
    <fill>
      <patternFill patternType="solid">
        <fgColor rgb="FFE7E6E6"/>
        <bgColor rgb="FFE2EFDA"/>
      </patternFill>
    </fill>
    <fill>
      <patternFill patternType="solid">
        <fgColor rgb="FFB4C7E7"/>
        <bgColor rgb="FFC9C9C9"/>
      </patternFill>
    </fill>
    <fill>
      <patternFill patternType="solid">
        <fgColor rgb="FF70AD47"/>
        <bgColor rgb="FF339966"/>
      </patternFill>
    </fill>
    <fill>
      <patternFill patternType="solid">
        <fgColor rgb="FFE2EFDA"/>
        <bgColor rgb="FFD9F2D9"/>
      </patternFill>
    </fill>
    <fill>
      <patternFill patternType="solid">
        <fgColor rgb="FF0070C0"/>
        <bgColor rgb="FF008080"/>
      </patternFill>
    </fill>
    <fill>
      <patternFill patternType="solid">
        <fgColor rgb="00FF4444"/>
        <bgColor rgb="00FF4444"/>
      </patternFill>
    </fill>
    <fill>
      <patternFill patternType="solid">
        <fgColor rgb="0096D1CC"/>
        <bgColor rgb="0096D1CC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  <fill>
      <patternFill patternType="solid">
        <fgColor rgb="00B4C7E7"/>
        <bgColor rgb="00B4C7E7"/>
      </patternFill>
    </fill>
    <fill>
      <patternFill patternType="solid">
        <fgColor rgb="00FFD9E6"/>
        <bgColor rgb="00FFD9E6"/>
      </patternFill>
    </fill>
    <fill>
      <patternFill patternType="solid">
        <fgColor rgb="00FFE6F0"/>
        <bgColor rgb="00FFE6F0"/>
      </patternFill>
    </fill>
    <fill>
      <patternFill patternType="solid">
        <fgColor rgb="00D9E6FF"/>
        <bgColor rgb="00D9E6FF"/>
      </patternFill>
    </fill>
    <fill>
      <patternFill patternType="solid">
        <fgColor rgb="00E6F0FF"/>
        <bgColor rgb="00E6F0FF"/>
      </patternFill>
    </fill>
    <fill>
      <patternFill patternType="solid">
        <fgColor rgb="00FFE6CC"/>
        <bgColor rgb="00FFE6CC"/>
      </patternFill>
    </fill>
    <fill>
      <patternFill patternType="solid">
        <fgColor rgb="00D9F2D9"/>
        <bgColor rgb="00D9F2D9"/>
      </patternFill>
    </fill>
    <fill>
      <patternFill patternType="solid">
        <fgColor rgb="00E6D9FF"/>
        <bgColor rgb="00E6D9FF"/>
      </patternFill>
    </fill>
    <fill>
      <patternFill patternType="solid">
        <fgColor rgb="00FFFFCC"/>
        <bgColor rgb="00FFFFCC"/>
      </patternFill>
    </fill>
    <fill>
      <patternFill patternType="solid">
        <fgColor rgb="00CCCCCC"/>
        <bgColor rgb="00CCCCCC"/>
      </patternFill>
    </fill>
    <fill>
      <patternFill patternType="solid">
        <fgColor rgb="00D5D5D5"/>
        <bgColor rgb="00D5D5D5"/>
      </patternFill>
    </fill>
    <fill>
      <patternFill patternType="solid">
        <fgColor rgb="00C9C9C9"/>
        <bgColor rgb="00C9C9C9"/>
      </patternFill>
    </fill>
    <fill>
      <patternFill patternType="solid">
        <fgColor rgb="00F0F0F0"/>
        <bgColor rgb="00F0F0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  <border/>
    <border>
      <left style="thick">
        <color rgb="000070C0"/>
      </left>
      <right style="thin"/>
      <top style="thin"/>
      <bottom style="thin"/>
    </border>
    <border>
      <left style="thin"/>
      <right style="thick">
        <color rgb="000070C0"/>
      </right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9" fillId="3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bottom"/>
    </xf>
    <xf numFmtId="0" fontId="5" fillId="6" borderId="1" applyAlignment="1" pivotButton="0" quotePrefix="0" xfId="0">
      <alignment horizontal="center" vertical="bottom"/>
    </xf>
    <xf numFmtId="0" fontId="5" fillId="7" borderId="1" applyAlignment="1" pivotButton="0" quotePrefix="0" xfId="0">
      <alignment horizontal="center" vertical="bottom"/>
    </xf>
    <xf numFmtId="0" fontId="5" fillId="8" borderId="1" applyAlignment="1" pivotButton="0" quotePrefix="0" xfId="0">
      <alignment horizontal="center" vertical="bottom"/>
    </xf>
    <xf numFmtId="0" fontId="5" fillId="9" borderId="1" applyAlignment="1" pivotButton="0" quotePrefix="0" xfId="0">
      <alignment horizontal="center" vertical="bottom"/>
    </xf>
    <xf numFmtId="0" fontId="5" fillId="10" borderId="1" applyAlignment="1" pivotButton="0" quotePrefix="0" xfId="0">
      <alignment horizontal="center" vertical="bottom"/>
    </xf>
    <xf numFmtId="0" fontId="5" fillId="11" borderId="1" applyAlignment="1" pivotButton="0" quotePrefix="0" xfId="0">
      <alignment horizontal="center" vertical="bottom"/>
    </xf>
    <xf numFmtId="0" fontId="5" fillId="12" borderId="1" applyAlignment="1" pivotButton="0" quotePrefix="0" xfId="0">
      <alignment horizontal="general" vertical="bottom"/>
    </xf>
    <xf numFmtId="0" fontId="5" fillId="13" borderId="1" applyAlignment="1" pivotButton="0" quotePrefix="0" xfId="0">
      <alignment horizontal="general" vertical="bottom"/>
    </xf>
    <xf numFmtId="0" fontId="5" fillId="14" borderId="1" applyAlignment="1" pivotButton="0" quotePrefix="0" xfId="0">
      <alignment horizontal="general" vertical="bottom"/>
    </xf>
    <xf numFmtId="0" fontId="5" fillId="15" borderId="1" applyAlignment="1" pivotButton="0" quotePrefix="0" xfId="0">
      <alignment horizontal="general" vertical="bottom"/>
    </xf>
    <xf numFmtId="0" fontId="5" fillId="16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13" fillId="18" borderId="1" applyAlignment="1" pivotButton="0" quotePrefix="0" xfId="0">
      <alignment horizontal="center" vertical="bottom"/>
    </xf>
    <xf numFmtId="0" fontId="5" fillId="12" borderId="1" applyAlignment="1" pivotButton="0" quotePrefix="0" xfId="0">
      <alignment horizontal="center" vertical="bottom"/>
    </xf>
    <xf numFmtId="0" fontId="5" fillId="13" borderId="1" applyAlignment="1" pivotButton="0" quotePrefix="0" xfId="0">
      <alignment horizontal="center" vertical="bottom"/>
    </xf>
    <xf numFmtId="0" fontId="5" fillId="14" borderId="1" applyAlignment="1" pivotButton="0" quotePrefix="0" xfId="0">
      <alignment horizontal="center" vertical="bottom"/>
    </xf>
    <xf numFmtId="0" fontId="5" fillId="15" borderId="1" applyAlignment="1" pivotButton="0" quotePrefix="0" xfId="0">
      <alignment horizontal="center" vertical="bottom"/>
    </xf>
    <xf numFmtId="0" fontId="5" fillId="16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bottom"/>
    </xf>
    <xf numFmtId="0" fontId="8" fillId="4" borderId="0" applyAlignment="1" pivotButton="0" quotePrefix="0" xfId="0">
      <alignment horizontal="center" vertical="bottom"/>
    </xf>
    <xf numFmtId="0" fontId="13" fillId="19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15" fillId="21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center" vertical="center"/>
    </xf>
    <xf numFmtId="0" fontId="6" fillId="22" borderId="0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2" fontId="10" fillId="0" borderId="1" applyAlignment="1" pivotButton="0" quotePrefix="0" xfId="0">
      <alignment horizontal="center" vertical="center"/>
    </xf>
    <xf numFmtId="0" fontId="13" fillId="23" borderId="1" applyAlignment="1" pivotButton="0" quotePrefix="0" xfId="0">
      <alignment horizontal="center" vertical="center"/>
    </xf>
    <xf numFmtId="2" fontId="13" fillId="23" borderId="1" applyAlignment="1" pivotButton="0" quotePrefix="0" xfId="0">
      <alignment horizontal="center" vertical="center"/>
    </xf>
    <xf numFmtId="0" fontId="6" fillId="24" borderId="0" applyAlignment="1" pivotButton="0" quotePrefix="0" xfId="0">
      <alignment horizontal="center" vertical="center"/>
    </xf>
    <xf numFmtId="1" fontId="10" fillId="0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9" fillId="3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166" fontId="18" fillId="0" borderId="2" applyAlignment="1" pivotButton="0" quotePrefix="0" xfId="0">
      <alignment horizontal="center" vertical="center"/>
    </xf>
    <xf numFmtId="0" fontId="18" fillId="3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bottom"/>
    </xf>
    <xf numFmtId="0" fontId="5" fillId="6" borderId="1" applyAlignment="1" pivotButton="0" quotePrefix="0" xfId="0">
      <alignment horizontal="center" vertical="bottom"/>
    </xf>
    <xf numFmtId="0" fontId="5" fillId="7" borderId="1" applyAlignment="1" pivotButton="0" quotePrefix="0" xfId="0">
      <alignment horizontal="center" vertical="bottom"/>
    </xf>
    <xf numFmtId="0" fontId="5" fillId="8" borderId="1" applyAlignment="1" pivotButton="0" quotePrefix="0" xfId="0">
      <alignment horizontal="center" vertical="bottom"/>
    </xf>
    <xf numFmtId="0" fontId="5" fillId="9" borderId="1" applyAlignment="1" pivotButton="0" quotePrefix="0" xfId="0">
      <alignment horizontal="center" vertical="bottom"/>
    </xf>
    <xf numFmtId="0" fontId="5" fillId="10" borderId="1" applyAlignment="1" pivotButton="0" quotePrefix="0" xfId="0">
      <alignment horizontal="center" vertical="bottom"/>
    </xf>
    <xf numFmtId="0" fontId="5" fillId="11" borderId="1" applyAlignment="1" pivotButton="0" quotePrefix="0" xfId="0">
      <alignment horizontal="center" vertical="bottom"/>
    </xf>
    <xf numFmtId="0" fontId="5" fillId="12" borderId="1" applyAlignment="1" pivotButton="0" quotePrefix="0" xfId="0">
      <alignment horizontal="general" vertical="bottom"/>
    </xf>
    <xf numFmtId="0" fontId="5" fillId="13" borderId="1" applyAlignment="1" pivotButton="0" quotePrefix="0" xfId="0">
      <alignment horizontal="general" vertical="bottom"/>
    </xf>
    <xf numFmtId="0" fontId="5" fillId="14" borderId="1" applyAlignment="1" pivotButton="0" quotePrefix="0" xfId="0">
      <alignment horizontal="general" vertical="bottom"/>
    </xf>
    <xf numFmtId="0" fontId="5" fillId="15" borderId="1" applyAlignment="1" pivotButton="0" quotePrefix="0" xfId="0">
      <alignment horizontal="general" vertical="bottom"/>
    </xf>
    <xf numFmtId="0" fontId="5" fillId="16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19" fillId="25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/>
    </xf>
    <xf numFmtId="0" fontId="13" fillId="18" borderId="1" applyAlignment="1" pivotButton="0" quotePrefix="0" xfId="0">
      <alignment horizontal="center" vertical="bottom"/>
    </xf>
    <xf numFmtId="0" fontId="22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general" vertical="bottom"/>
    </xf>
    <xf numFmtId="0" fontId="22" fillId="25" borderId="2" applyAlignment="1" pivotButton="0" quotePrefix="0" xfId="0">
      <alignment horizontal="center" vertical="center"/>
    </xf>
    <xf numFmtId="0" fontId="22" fillId="26" borderId="2" applyAlignment="1" pivotButton="0" quotePrefix="0" xfId="0">
      <alignment horizontal="center" vertical="center"/>
    </xf>
    <xf numFmtId="0" fontId="23" fillId="27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bottom"/>
    </xf>
    <xf numFmtId="0" fontId="21" fillId="0" borderId="3" applyAlignment="1" pivotButton="0" quotePrefix="0" xfId="0">
      <alignment horizontal="center" vertical="bottom"/>
    </xf>
    <xf numFmtId="0" fontId="25" fillId="28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21" fillId="0" borderId="3" pivotButton="0" quotePrefix="0" xfId="0"/>
    <xf numFmtId="0" fontId="14" fillId="0" borderId="0" applyAlignment="1" pivotButton="0" quotePrefix="0" xfId="0">
      <alignment horizontal="center" vertical="bottom"/>
    </xf>
    <xf numFmtId="0" fontId="8" fillId="4" borderId="0" applyAlignment="1" pivotButton="0" quotePrefix="0" xfId="0">
      <alignment horizontal="center" vertical="bottom"/>
    </xf>
    <xf numFmtId="0" fontId="27" fillId="29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30" borderId="1" applyAlignment="1" pivotButton="0" quotePrefix="0" xfId="0">
      <alignment horizontal="center" vertical="center"/>
    </xf>
    <xf numFmtId="0" fontId="18" fillId="31" borderId="1" applyAlignment="1" pivotButton="0" quotePrefix="0" xfId="0">
      <alignment horizontal="center" vertical="center"/>
    </xf>
    <xf numFmtId="0" fontId="18" fillId="29" borderId="1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8" fillId="31" borderId="1" applyAlignment="1" pivotButton="0" quotePrefix="0" xfId="0">
      <alignment horizontal="center" vertical="center"/>
    </xf>
    <xf numFmtId="0" fontId="29" fillId="0" borderId="3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18" fillId="30" borderId="3" applyAlignment="1" pivotButton="0" quotePrefix="0" xfId="0">
      <alignment horizontal="center" vertical="center"/>
    </xf>
    <xf numFmtId="0" fontId="26" fillId="32" borderId="2" applyAlignment="1" pivotButton="0" quotePrefix="0" xfId="0">
      <alignment horizontal="center" vertical="center"/>
    </xf>
    <xf numFmtId="0" fontId="26" fillId="33" borderId="2" applyAlignment="1" pivotButton="0" quotePrefix="0" xfId="0">
      <alignment horizontal="center" vertical="center"/>
    </xf>
    <xf numFmtId="0" fontId="26" fillId="34" borderId="2" applyAlignment="1" pivotButton="0" quotePrefix="0" xfId="0">
      <alignment horizontal="center" vertical="center"/>
    </xf>
    <xf numFmtId="0" fontId="26" fillId="35" borderId="2" applyAlignment="1" pivotButton="0" quotePrefix="0" xfId="0">
      <alignment horizontal="center" vertical="center"/>
    </xf>
    <xf numFmtId="0" fontId="26" fillId="36" borderId="2" applyAlignment="1" pivotButton="0" quotePrefix="0" xfId="0">
      <alignment horizontal="center" vertical="center"/>
    </xf>
    <xf numFmtId="0" fontId="26" fillId="37" borderId="2" applyAlignment="1" pivotButton="0" quotePrefix="0" xfId="0">
      <alignment horizontal="center" vertical="center"/>
    </xf>
    <xf numFmtId="0" fontId="26" fillId="38" borderId="2" applyAlignment="1" pivotButton="0" quotePrefix="0" xfId="0">
      <alignment horizontal="center" vertical="center"/>
    </xf>
    <xf numFmtId="0" fontId="26" fillId="25" borderId="2" applyAlignment="1" pivotButton="0" quotePrefix="0" xfId="0">
      <alignment horizontal="center" vertical="center"/>
    </xf>
    <xf numFmtId="0" fontId="30" fillId="27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26" fillId="39" borderId="2" applyAlignment="1" pivotButton="0" quotePrefix="0" xfId="0">
      <alignment horizontal="center" vertical="center"/>
    </xf>
    <xf numFmtId="0" fontId="26" fillId="40" borderId="2" applyAlignment="1" pivotButton="0" quotePrefix="0" xfId="0">
      <alignment horizontal="center" vertical="center"/>
    </xf>
    <xf numFmtId="0" fontId="26" fillId="41" borderId="2" applyAlignment="1" pivotButton="0" quotePrefix="0" xfId="0">
      <alignment horizontal="center" vertical="center"/>
    </xf>
    <xf numFmtId="0" fontId="26" fillId="42" borderId="2" applyAlignment="1" pivotButton="0" quotePrefix="0" xfId="0">
      <alignment horizontal="center" vertical="center"/>
    </xf>
    <xf numFmtId="0" fontId="26" fillId="26" borderId="2" applyAlignment="1" pivotButton="0" quotePrefix="0" xfId="0">
      <alignment horizontal="center" vertical="center"/>
    </xf>
    <xf numFmtId="0" fontId="26" fillId="43" borderId="2" applyAlignment="1" pivotButton="0" quotePrefix="0" xfId="0">
      <alignment horizontal="center" vertical="center"/>
    </xf>
    <xf numFmtId="0" fontId="30" fillId="0" borderId="2" applyAlignment="1" pivotButton="0" quotePrefix="0" xfId="0">
      <alignment horizontal="center" vertical="center"/>
    </xf>
    <xf numFmtId="0" fontId="31" fillId="0" borderId="3" pivotButton="0" quotePrefix="0" xfId="0"/>
    <xf numFmtId="0" fontId="18" fillId="0" borderId="5" applyAlignment="1" pivotButton="0" quotePrefix="0" xfId="0">
      <alignment horizontal="center" vertical="center"/>
    </xf>
    <xf numFmtId="0" fontId="5" fillId="0" borderId="3" applyAlignment="1" pivotButton="0" quotePrefix="0" xfId="0">
      <alignment horizontal="general" vertical="bottom"/>
    </xf>
    <xf numFmtId="0" fontId="0" fillId="0" borderId="3" pivotButton="0" quotePrefix="0" xfId="0"/>
    <xf numFmtId="0" fontId="18" fillId="31" borderId="3" applyAlignment="1" pivotButton="0" quotePrefix="0" xfId="0">
      <alignment horizontal="center" vertical="center"/>
    </xf>
    <xf numFmtId="0" fontId="28" fillId="31" borderId="3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ill>
        <patternFill>
          <bgColor rgb="FFFFD9E6"/>
        </patternFill>
      </fill>
    </dxf>
    <dxf>
      <fill>
        <patternFill>
          <bgColor rgb="FFFFE6F0"/>
        </patternFill>
      </fill>
    </dxf>
    <dxf>
      <fill>
        <patternFill>
          <bgColor rgb="FFD9E6FF"/>
        </patternFill>
      </fill>
    </dxf>
    <dxf>
      <fill>
        <patternFill>
          <bgColor rgb="FFE6F0FF"/>
        </patternFill>
      </fill>
    </dxf>
    <dxf>
      <fill>
        <patternFill>
          <bgColor rgb="FFFFE6CC"/>
        </patternFill>
      </fill>
    </dxf>
    <dxf>
      <fill>
        <patternFill>
          <bgColor rgb="FFD9F2D9"/>
        </patternFill>
      </fill>
    </dxf>
    <dxf>
      <fill>
        <patternFill>
          <bgColor rgb="FFE6D9FF"/>
        </patternFill>
      </fill>
    </dxf>
    <dxf>
      <fill>
        <patternFill>
          <bgColor rgb="FFFFFFCC"/>
        </patternFill>
      </fill>
    </dxf>
    <dxf>
      <fill>
        <patternFill>
          <bgColor rgb="FFCCCCCC"/>
        </patternFill>
      </fill>
    </dxf>
    <dxf>
      <fill>
        <patternFill>
          <bgColor rgb="FFD5D5D5"/>
        </patternFill>
      </fill>
    </dxf>
    <dxf>
      <fill>
        <patternFill>
          <bgColor rgb="FFC9C9C9"/>
        </patternFill>
      </fill>
    </dxf>
    <dxf>
      <fill>
        <patternFill>
          <bgColor rgb="FFF0F0F0"/>
        </patternFill>
      </fill>
    </dxf>
    <dxf>
      <font>
        <name val="Aptos"/>
        <charset val="1"/>
        <family val="0"/>
        <b val="1"/>
        <color rgb="FFFFFFFF"/>
        <sz val="10"/>
      </font>
      <fill>
        <patternFill>
          <bgColor rgb="FFFF6B6B"/>
        </patternFill>
      </fill>
    </dxf>
    <dxf>
      <fill>
        <patternFill patternType="solid">
          <fgColor rgb="0096D1CC"/>
          <bgColor rgb="0096D1CC"/>
        </patternFill>
      </fill>
    </dxf>
    <dxf>
      <fill>
        <patternFill patternType="solid">
          <fgColor rgb="00FF4444"/>
          <bgColor rgb="00FF4444"/>
        </patternFill>
      </fill>
    </dxf>
    <dxf>
      <font>
        <name val="Aptos"/>
        <b val="1"/>
        <color rgb="00FFFFFF"/>
        <sz val="10"/>
      </font>
      <fill>
        <patternFill patternType="solid">
          <fgColor rgb="00FF6B6B"/>
          <bgColor rgb="00FF6B6B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C6EFCE"/>
          <bgColor rgb="00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6CC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E6D9FF"/>
      <rgbColor rgb="FFD5D5D5"/>
      <rgbColor rgb="FF993366"/>
      <rgbColor rgb="FFFFFFCC"/>
      <rgbColor rgb="FFE6F0FF"/>
      <rgbColor rgb="FF660066"/>
      <rgbColor rgb="FFFF6B6B"/>
      <rgbColor rgb="FF0070C0"/>
      <rgbColor rgb="FFB4C7E7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D9E6FF"/>
      <rgbColor rgb="FFD9F2D9"/>
      <rgbColor rgb="FFFFF2CC"/>
      <rgbColor rgb="FF9BD1CB"/>
      <rgbColor rgb="FFFFD9E6"/>
      <rgbColor rgb="FFCCCCCC"/>
      <rgbColor rgb="FFFFC7CE"/>
      <rgbColor rgb="FF4472C4"/>
      <rgbColor rgb="FFF0F0F0"/>
      <rgbColor rgb="FFD9E1F2"/>
      <rgbColor rgb="FFE7E6E6"/>
      <rgbColor rgb="FFFFE6F0"/>
      <rgbColor rgb="FFFF6600"/>
      <rgbColor rgb="FF366092"/>
      <rgbColor rgb="FF70AD47"/>
      <rgbColor rgb="FF003366"/>
      <rgbColor rgb="FF339966"/>
      <rgbColor rgb="FF003300"/>
      <rgbColor rgb="FF333300"/>
      <rgbColor rgb="FF993300"/>
      <rgbColor rgb="FF993366"/>
      <rgbColor rgb="FF283593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57"/>
  <sheetViews>
    <sheetView showFormulas="0" showGridLines="1" showRowColHeaders="1" showZeros="1" rightToLeft="0" tabSelected="1" showOutlineSymbols="1" defaultGridColor="1" view="normal" topLeftCell="A14" colorId="64" zoomScale="100" zoomScaleNormal="100" zoomScalePageLayoutView="100" workbookViewId="0">
      <selection pane="topLeft" activeCell="L49" activeCellId="0" sqref="L48:L49"/>
    </sheetView>
  </sheetViews>
  <sheetFormatPr baseColWidth="8" defaultColWidth="8.6796875" defaultRowHeight="15" customHeight="0" zeroHeight="0" outlineLevelRow="0"/>
  <cols>
    <col width="12" customWidth="1" style="66" min="1" max="1"/>
    <col width="29.35" customWidth="1" style="66" min="2" max="2"/>
    <col width="15" customWidth="1" style="66" min="3" max="6"/>
    <col width="12" customWidth="1" style="66" min="7" max="7"/>
  </cols>
  <sheetData>
    <row r="1" ht="30" customHeight="1" s="67">
      <c r="A1" s="68" t="inlineStr">
        <is>
          <t>CONFIGURATION DU FICHIER - ANNÉE 2026</t>
        </is>
      </c>
    </row>
    <row r="2" ht="15" customHeight="1" s="67">
      <c r="A2" s="69" t="n"/>
      <c r="B2" s="69" t="n"/>
      <c r="C2" s="69" t="n"/>
      <c r="D2" s="69" t="n"/>
      <c r="E2" s="69" t="n"/>
      <c r="F2" s="69" t="n"/>
      <c r="G2" s="69" t="n"/>
    </row>
    <row r="3" ht="15" customHeight="1" s="67">
      <c r="A3" s="70" t="inlineStr">
        <is>
          <t>ANNÉE</t>
        </is>
      </c>
      <c r="C3" s="69" t="n"/>
      <c r="D3" s="69" t="n"/>
      <c r="E3" s="69" t="n"/>
      <c r="F3" s="69" t="n"/>
      <c r="G3" s="69" t="n"/>
    </row>
    <row r="4" ht="17.25" customHeight="1" s="67">
      <c r="A4" s="71" t="inlineStr">
        <is>
          <t>Année en cours</t>
        </is>
      </c>
      <c r="B4" s="72" t="n">
        <v>2026</v>
      </c>
      <c r="C4" s="69" t="n"/>
      <c r="D4" s="69" t="n"/>
      <c r="E4" s="69" t="n"/>
      <c r="F4" s="69" t="n"/>
      <c r="G4" s="69" t="n"/>
    </row>
    <row r="5" ht="15" customHeight="1" s="67">
      <c r="A5" s="69" t="n"/>
      <c r="B5" s="69" t="n"/>
      <c r="C5" s="69" t="n"/>
      <c r="D5" s="69" t="n"/>
      <c r="E5" s="69" t="n"/>
      <c r="F5" s="69" t="n"/>
      <c r="G5" s="69" t="n"/>
    </row>
    <row r="6" ht="15" customHeight="1" s="67">
      <c r="A6" s="70" t="inlineStr">
        <is>
          <t>DROITS ANNUELS</t>
        </is>
      </c>
      <c r="D6" s="69" t="n"/>
      <c r="E6" s="69" t="n"/>
      <c r="F6" s="69" t="n"/>
      <c r="G6" s="69" t="n"/>
    </row>
    <row r="7" ht="15" customHeight="1" s="67">
      <c r="A7" s="73" t="inlineStr">
        <is>
          <t>Type</t>
        </is>
      </c>
      <c r="B7" s="73" t="inlineStr">
        <is>
          <t>Droit annuel</t>
        </is>
      </c>
      <c r="C7" s="73" t="inlineStr">
        <is>
          <t>Report N-1</t>
        </is>
      </c>
      <c r="D7" s="69" t="n"/>
      <c r="E7" s="69" t="n"/>
      <c r="F7" s="69" t="n"/>
      <c r="G7" s="69" t="n"/>
    </row>
    <row r="8" ht="15" customHeight="1" s="67">
      <c r="A8" s="74" t="inlineStr">
        <is>
          <t>CN</t>
        </is>
      </c>
      <c r="B8" s="75" t="n">
        <v>24</v>
      </c>
      <c r="C8" s="75" t="n">
        <v>0</v>
      </c>
      <c r="D8" s="69" t="n"/>
      <c r="E8" s="69" t="n"/>
      <c r="F8" s="69" t="n"/>
      <c r="G8" s="69" t="n"/>
    </row>
    <row r="9" ht="15" customHeight="1" s="67">
      <c r="A9" s="74" t="inlineStr">
        <is>
          <t>JC</t>
        </is>
      </c>
      <c r="B9" s="75" t="n">
        <v>13</v>
      </c>
      <c r="C9" s="75" t="n">
        <v>0</v>
      </c>
      <c r="D9" s="69" t="n"/>
      <c r="E9" s="69" t="n"/>
      <c r="F9" s="69" t="n"/>
      <c r="G9" s="69" t="n"/>
    </row>
    <row r="10" ht="15" customHeight="1" s="67">
      <c r="A10" s="69" t="n"/>
      <c r="B10" s="69" t="n"/>
      <c r="C10" s="69" t="n"/>
      <c r="D10" s="69" t="n"/>
      <c r="E10" s="69" t="n"/>
      <c r="F10" s="69" t="n"/>
      <c r="G10" s="69" t="n"/>
    </row>
    <row r="11" ht="15" customHeight="1" s="67">
      <c r="A11" s="70" t="inlineStr">
        <is>
          <t>PÉRIODES (4 SEMAINES)</t>
        </is>
      </c>
      <c r="E11" s="69" t="n"/>
      <c r="F11" s="69" t="n"/>
      <c r="G11" s="69" t="n"/>
    </row>
    <row r="12" ht="15" customHeight="1" s="67">
      <c r="A12" s="73" t="inlineStr">
        <is>
          <t>Période</t>
        </is>
      </c>
      <c r="B12" s="73" t="inlineStr">
        <is>
          <t>Début</t>
        </is>
      </c>
      <c r="C12" s="73" t="inlineStr">
        <is>
          <t>Fin</t>
        </is>
      </c>
      <c r="D12" s="73" t="inlineStr">
        <is>
          <t>Max heures</t>
        </is>
      </c>
      <c r="E12" s="69" t="n"/>
      <c r="F12" s="69" t="n"/>
      <c r="G12" s="69" t="n"/>
    </row>
    <row r="13" ht="15" customHeight="1" s="67">
      <c r="A13" s="76" t="inlineStr">
        <is>
          <t>Période</t>
        </is>
      </c>
      <c r="B13" s="76" t="inlineStr">
        <is>
          <t>Début</t>
        </is>
      </c>
      <c r="C13" s="76" t="inlineStr">
        <is>
          <t>Fin</t>
        </is>
      </c>
      <c r="D13" s="76" t="inlineStr">
        <is>
          <t>Max heures</t>
        </is>
      </c>
      <c r="E13" s="69" t="n"/>
      <c r="F13" s="69" t="n"/>
      <c r="G13" s="69" t="n"/>
    </row>
    <row r="14" ht="15" customHeight="1" s="67">
      <c r="A14" s="77" t="inlineStr">
        <is>
          <t>P1</t>
        </is>
      </c>
      <c r="B14" s="78" t="n">
        <v>46034</v>
      </c>
      <c r="C14" s="78" t="n">
        <v>46061</v>
      </c>
      <c r="D14" s="79" t="n">
        <v>160</v>
      </c>
      <c r="E14" s="69" t="n"/>
      <c r="F14" s="69" t="n"/>
      <c r="G14" s="69" t="n"/>
    </row>
    <row r="15" ht="15" customHeight="1" s="67">
      <c r="A15" s="77" t="inlineStr">
        <is>
          <t>P2</t>
        </is>
      </c>
      <c r="B15" s="78" t="n">
        <v>46062</v>
      </c>
      <c r="C15" s="78" t="n">
        <v>46089</v>
      </c>
      <c r="D15" s="79" t="n">
        <v>160</v>
      </c>
      <c r="E15" s="69" t="n"/>
      <c r="F15" s="69" t="n"/>
      <c r="G15" s="69" t="n"/>
    </row>
    <row r="16" ht="15" customHeight="1" s="67">
      <c r="A16" s="77" t="inlineStr">
        <is>
          <t>P3</t>
        </is>
      </c>
      <c r="B16" s="78" t="n">
        <v>46090</v>
      </c>
      <c r="C16" s="78" t="n">
        <v>46117</v>
      </c>
      <c r="D16" s="79" t="n">
        <v>160</v>
      </c>
      <c r="E16" s="69" t="n"/>
      <c r="F16" s="69" t="n"/>
      <c r="G16" s="69" t="n"/>
    </row>
    <row r="17" ht="15" customHeight="1" s="67">
      <c r="A17" s="77" t="inlineStr">
        <is>
          <t>P4</t>
        </is>
      </c>
      <c r="B17" s="78" t="n">
        <v>46118</v>
      </c>
      <c r="C17" s="78" t="n">
        <v>46145</v>
      </c>
      <c r="D17" s="79" t="n">
        <v>160</v>
      </c>
      <c r="E17" s="69" t="n"/>
      <c r="F17" s="69" t="n"/>
      <c r="G17" s="69" t="n"/>
    </row>
    <row r="18" ht="15" customHeight="1" s="67">
      <c r="A18" s="77" t="inlineStr">
        <is>
          <t>P5</t>
        </is>
      </c>
      <c r="B18" s="78" t="n">
        <v>46146</v>
      </c>
      <c r="C18" s="78" t="n">
        <v>46173</v>
      </c>
      <c r="D18" s="79" t="n">
        <v>160</v>
      </c>
      <c r="E18" s="69" t="n"/>
      <c r="F18" s="69" t="n"/>
      <c r="G18" s="69" t="n"/>
    </row>
    <row r="19" ht="15" customHeight="1" s="67">
      <c r="A19" s="77" t="inlineStr">
        <is>
          <t>P6</t>
        </is>
      </c>
      <c r="B19" s="78" t="n">
        <v>46174</v>
      </c>
      <c r="C19" s="78" t="n">
        <v>46201</v>
      </c>
      <c r="D19" s="79" t="n">
        <v>160</v>
      </c>
      <c r="E19" s="69" t="n"/>
      <c r="F19" s="69" t="n"/>
      <c r="G19" s="69" t="n"/>
    </row>
    <row r="20" ht="15" customHeight="1" s="67">
      <c r="A20" s="77" t="inlineStr">
        <is>
          <t>P7</t>
        </is>
      </c>
      <c r="B20" s="78" t="n">
        <v>46202</v>
      </c>
      <c r="C20" s="78" t="n">
        <v>46229</v>
      </c>
      <c r="D20" s="79" t="n">
        <v>160</v>
      </c>
      <c r="E20" s="69" t="n"/>
      <c r="F20" s="69" t="n"/>
      <c r="G20" s="69" t="n"/>
    </row>
    <row r="21" ht="15" customHeight="1" s="67">
      <c r="A21" s="77" t="inlineStr">
        <is>
          <t>P8</t>
        </is>
      </c>
      <c r="B21" s="78" t="n">
        <v>46230</v>
      </c>
      <c r="C21" s="78" t="n">
        <v>46257</v>
      </c>
      <c r="D21" s="79" t="n">
        <v>160</v>
      </c>
      <c r="E21" s="69" t="n"/>
      <c r="F21" s="69" t="n"/>
      <c r="G21" s="69" t="n"/>
    </row>
    <row r="22" ht="15" customHeight="1" s="67">
      <c r="A22" s="77" t="inlineStr">
        <is>
          <t>P9</t>
        </is>
      </c>
      <c r="B22" s="78" t="n">
        <v>46258</v>
      </c>
      <c r="C22" s="78" t="n">
        <v>46285</v>
      </c>
      <c r="D22" s="79" t="n">
        <v>160</v>
      </c>
      <c r="E22" s="69" t="n"/>
      <c r="F22" s="69" t="n"/>
      <c r="G22" s="69" t="n"/>
    </row>
    <row r="23" ht="15" customHeight="1" s="67">
      <c r="A23" s="77" t="inlineStr">
        <is>
          <t>P10</t>
        </is>
      </c>
      <c r="B23" s="78" t="n">
        <v>46286</v>
      </c>
      <c r="C23" s="78" t="n">
        <v>46313</v>
      </c>
      <c r="D23" s="79" t="n">
        <v>160</v>
      </c>
      <c r="E23" s="69" t="n"/>
      <c r="F23" s="69" t="n"/>
      <c r="G23" s="69" t="n"/>
    </row>
    <row r="24" ht="15" customHeight="1" s="67">
      <c r="A24" s="77" t="inlineStr">
        <is>
          <t>P11</t>
        </is>
      </c>
      <c r="B24" s="78" t="n">
        <v>46314</v>
      </c>
      <c r="C24" s="78" t="n">
        <v>46341</v>
      </c>
      <c r="D24" s="79" t="n">
        <v>160</v>
      </c>
      <c r="E24" s="69" t="n"/>
      <c r="F24" s="69" t="n"/>
      <c r="G24" s="69" t="n"/>
    </row>
    <row r="25" ht="15" customHeight="1" s="67">
      <c r="A25" s="77" t="inlineStr">
        <is>
          <t>P12</t>
        </is>
      </c>
      <c r="B25" s="78" t="n">
        <v>46342</v>
      </c>
      <c r="C25" s="78" t="n">
        <v>46369</v>
      </c>
      <c r="D25" s="79" t="n">
        <v>160</v>
      </c>
      <c r="E25" s="69" t="n"/>
      <c r="F25" s="69" t="n"/>
      <c r="G25" s="69" t="n"/>
    </row>
    <row r="26" ht="15" customHeight="1" s="67">
      <c r="A26" s="77" t="inlineStr">
        <is>
          <t>P13</t>
        </is>
      </c>
      <c r="B26" s="78" t="n">
        <v>46370</v>
      </c>
      <c r="C26" s="78" t="n">
        <v>46397</v>
      </c>
      <c r="D26" s="79" t="n">
        <v>160</v>
      </c>
      <c r="E26" s="69" t="n"/>
      <c r="F26" s="69" t="n"/>
      <c r="G26" s="69" t="n"/>
    </row>
    <row r="27" ht="15" customHeight="1" s="67">
      <c r="A27" s="70" t="inlineStr">
        <is>
          <t>HORAIRES PRESTATIONS</t>
        </is>
      </c>
    </row>
    <row r="28" ht="15" customHeight="1" s="67">
      <c r="A28" s="73" t="inlineStr">
        <is>
          <t>Code</t>
        </is>
      </c>
      <c r="B28" s="73" t="inlineStr">
        <is>
          <t>Nom</t>
        </is>
      </c>
      <c r="C28" s="73" t="inlineStr">
        <is>
          <t>Début</t>
        </is>
      </c>
      <c r="D28" s="73" t="inlineStr">
        <is>
          <t>Fin</t>
        </is>
      </c>
      <c r="E28" s="73" t="inlineStr">
        <is>
          <t>H.tot</t>
        </is>
      </c>
      <c r="F28" s="73" t="inlineStr">
        <is>
          <t>H.nuit</t>
        </is>
      </c>
      <c r="G28" s="73" t="inlineStr">
        <is>
          <t>Couleur</t>
        </is>
      </c>
    </row>
    <row r="29" ht="15" customHeight="1" s="67">
      <c r="A29" s="74" t="inlineStr">
        <is>
          <t>101</t>
        </is>
      </c>
      <c r="B29" s="74" t="inlineStr">
        <is>
          <t>Matin PACO</t>
        </is>
      </c>
      <c r="C29" s="74" t="inlineStr">
        <is>
          <t>06:00</t>
        </is>
      </c>
      <c r="D29" s="74" t="inlineStr">
        <is>
          <t>14:00</t>
        </is>
      </c>
      <c r="E29" s="74" t="n">
        <v>8</v>
      </c>
      <c r="F29" s="74" t="n">
        <v>2</v>
      </c>
      <c r="G29" s="80" t="n"/>
    </row>
    <row r="30" ht="15" customHeight="1" s="67">
      <c r="A30" s="74" t="inlineStr">
        <is>
          <t>102</t>
        </is>
      </c>
      <c r="B30" s="74" t="inlineStr">
        <is>
          <t>Matin RCCA</t>
        </is>
      </c>
      <c r="C30" s="74" t="inlineStr">
        <is>
          <t>06:00</t>
        </is>
      </c>
      <c r="D30" s="74" t="inlineStr">
        <is>
          <t>14:00</t>
        </is>
      </c>
      <c r="E30" s="74" t="n">
        <v>8</v>
      </c>
      <c r="F30" s="74" t="n">
        <v>2</v>
      </c>
      <c r="G30" s="81" t="n"/>
    </row>
    <row r="31" ht="15" customHeight="1" s="67">
      <c r="A31" s="74" t="inlineStr">
        <is>
          <t>111</t>
        </is>
      </c>
      <c r="B31" s="74" t="inlineStr">
        <is>
          <t>PM PACO</t>
        </is>
      </c>
      <c r="C31" s="74" t="inlineStr">
        <is>
          <t>14:00</t>
        </is>
      </c>
      <c r="D31" s="74" t="inlineStr">
        <is>
          <t>22:00</t>
        </is>
      </c>
      <c r="E31" s="74" t="n">
        <v>8</v>
      </c>
      <c r="F31" s="74" t="n">
        <v>2</v>
      </c>
      <c r="G31" s="82" t="n"/>
    </row>
    <row r="32" ht="15" customHeight="1" s="67">
      <c r="A32" s="74" t="inlineStr">
        <is>
          <t>112</t>
        </is>
      </c>
      <c r="B32" s="74" t="inlineStr">
        <is>
          <t>PM RCCA</t>
        </is>
      </c>
      <c r="C32" s="74" t="inlineStr">
        <is>
          <t>14:00</t>
        </is>
      </c>
      <c r="D32" s="74" t="inlineStr">
        <is>
          <t>22:00</t>
        </is>
      </c>
      <c r="E32" s="74" t="n">
        <v>8</v>
      </c>
      <c r="F32" s="74" t="n">
        <v>2</v>
      </c>
      <c r="G32" s="83" t="n"/>
    </row>
    <row r="33" ht="15" customHeight="1" s="67">
      <c r="A33" s="74" t="inlineStr">
        <is>
          <t>121</t>
        </is>
      </c>
      <c r="B33" s="74" t="inlineStr">
        <is>
          <t>Nuit PACO</t>
        </is>
      </c>
      <c r="C33" s="74" t="inlineStr">
        <is>
          <t>22:00</t>
        </is>
      </c>
      <c r="D33" s="74" t="inlineStr">
        <is>
          <t>06:00</t>
        </is>
      </c>
      <c r="E33" s="74" t="n">
        <v>8</v>
      </c>
      <c r="F33" s="74" t="n">
        <v>8</v>
      </c>
      <c r="G33" s="84" t="n"/>
    </row>
    <row r="34" ht="15" customHeight="1" s="67">
      <c r="A34" s="74" t="inlineStr">
        <is>
          <t>6101</t>
        </is>
      </c>
      <c r="B34" s="74" t="inlineStr">
        <is>
          <t>Sam Matin PACO</t>
        </is>
      </c>
      <c r="C34" s="74" t="inlineStr">
        <is>
          <t>06:00</t>
        </is>
      </c>
      <c r="D34" s="74" t="inlineStr">
        <is>
          <t>14:00</t>
        </is>
      </c>
      <c r="E34" s="74" t="n">
        <v>8</v>
      </c>
      <c r="F34" s="74" t="n">
        <v>2</v>
      </c>
      <c r="G34" s="80" t="n"/>
    </row>
    <row r="35" ht="15" customHeight="1" s="67">
      <c r="A35" s="74" t="inlineStr">
        <is>
          <t>6102</t>
        </is>
      </c>
      <c r="B35" s="74" t="inlineStr">
        <is>
          <t>Sam Matin RCCA</t>
        </is>
      </c>
      <c r="C35" s="74" t="inlineStr">
        <is>
          <t>06:00</t>
        </is>
      </c>
      <c r="D35" s="74" t="inlineStr">
        <is>
          <t>14:00</t>
        </is>
      </c>
      <c r="E35" s="74" t="n">
        <v>8</v>
      </c>
      <c r="F35" s="74" t="n">
        <v>2</v>
      </c>
      <c r="G35" s="81" t="n"/>
    </row>
    <row r="36" ht="15" customHeight="1" s="67">
      <c r="A36" s="74" t="inlineStr">
        <is>
          <t>6111</t>
        </is>
      </c>
      <c r="B36" s="74" t="inlineStr">
        <is>
          <t>Sam PM PACO</t>
        </is>
      </c>
      <c r="C36" s="74" t="inlineStr">
        <is>
          <t>14:00</t>
        </is>
      </c>
      <c r="D36" s="74" t="inlineStr">
        <is>
          <t>22:00</t>
        </is>
      </c>
      <c r="E36" s="74" t="n">
        <v>8</v>
      </c>
      <c r="F36" s="74" t="n">
        <v>2</v>
      </c>
      <c r="G36" s="82" t="n"/>
    </row>
    <row r="37" ht="15" customHeight="1" s="67">
      <c r="A37" s="74" t="inlineStr">
        <is>
          <t>6112</t>
        </is>
      </c>
      <c r="B37" s="74" t="inlineStr">
        <is>
          <t>Sam PM RCCA</t>
        </is>
      </c>
      <c r="C37" s="74" t="inlineStr">
        <is>
          <t>14:00</t>
        </is>
      </c>
      <c r="D37" s="74" t="inlineStr">
        <is>
          <t>22:00</t>
        </is>
      </c>
      <c r="E37" s="74" t="n">
        <v>8</v>
      </c>
      <c r="F37" s="74" t="n">
        <v>2</v>
      </c>
      <c r="G37" s="83" t="n"/>
    </row>
    <row r="38" ht="15" customHeight="1" s="67">
      <c r="A38" s="74" t="inlineStr">
        <is>
          <t>6121</t>
        </is>
      </c>
      <c r="B38" s="74" t="inlineStr">
        <is>
          <t>Sam Nuit PACO</t>
        </is>
      </c>
      <c r="C38" s="74" t="inlineStr">
        <is>
          <t>22:00</t>
        </is>
      </c>
      <c r="D38" s="74" t="inlineStr">
        <is>
          <t>06:00</t>
        </is>
      </c>
      <c r="E38" s="74" t="n">
        <v>8</v>
      </c>
      <c r="F38" s="74" t="n">
        <v>8</v>
      </c>
      <c r="G38" s="84" t="n"/>
    </row>
    <row r="39" ht="15" customHeight="1" s="67">
      <c r="A39" s="74" t="inlineStr">
        <is>
          <t>7101</t>
        </is>
      </c>
      <c r="B39" s="74" t="inlineStr">
        <is>
          <t>Dim Matin PACO</t>
        </is>
      </c>
      <c r="C39" s="74" t="inlineStr">
        <is>
          <t>06:00</t>
        </is>
      </c>
      <c r="D39" s="74" t="inlineStr">
        <is>
          <t>14:00</t>
        </is>
      </c>
      <c r="E39" s="74" t="n">
        <v>8</v>
      </c>
      <c r="F39" s="74" t="n">
        <v>2</v>
      </c>
      <c r="G39" s="80" t="n"/>
    </row>
    <row r="40" ht="15" customHeight="1" s="67">
      <c r="A40" s="74" t="inlineStr">
        <is>
          <t>7102</t>
        </is>
      </c>
      <c r="B40" s="74" t="inlineStr">
        <is>
          <t>Dim Matin RCCA</t>
        </is>
      </c>
      <c r="C40" s="74" t="inlineStr">
        <is>
          <t>06:00</t>
        </is>
      </c>
      <c r="D40" s="74" t="inlineStr">
        <is>
          <t>14:00</t>
        </is>
      </c>
      <c r="E40" s="74" t="n">
        <v>8</v>
      </c>
      <c r="F40" s="74" t="n">
        <v>2</v>
      </c>
      <c r="G40" s="81" t="n"/>
    </row>
    <row r="41" ht="15" customHeight="1" s="67">
      <c r="A41" s="74" t="inlineStr">
        <is>
          <t>7111</t>
        </is>
      </c>
      <c r="B41" s="74" t="inlineStr">
        <is>
          <t>Dim PM PACO</t>
        </is>
      </c>
      <c r="C41" s="74" t="inlineStr">
        <is>
          <t>14:00</t>
        </is>
      </c>
      <c r="D41" s="74" t="inlineStr">
        <is>
          <t>22:00</t>
        </is>
      </c>
      <c r="E41" s="74" t="n">
        <v>8</v>
      </c>
      <c r="F41" s="74" t="n">
        <v>2</v>
      </c>
      <c r="G41" s="82" t="n"/>
    </row>
    <row r="42" ht="15" customHeight="1" s="67">
      <c r="A42" s="74" t="inlineStr">
        <is>
          <t>7112</t>
        </is>
      </c>
      <c r="B42" s="74" t="inlineStr">
        <is>
          <t>Dim PM RCCA</t>
        </is>
      </c>
      <c r="C42" s="74" t="inlineStr">
        <is>
          <t>14:00</t>
        </is>
      </c>
      <c r="D42" s="74" t="inlineStr">
        <is>
          <t>22:00</t>
        </is>
      </c>
      <c r="E42" s="74" t="n">
        <v>8</v>
      </c>
      <c r="F42" s="74" t="n">
        <v>2</v>
      </c>
      <c r="G42" s="83" t="n"/>
    </row>
    <row r="43" ht="15" customHeight="1" s="67">
      <c r="A43" s="74" t="inlineStr">
        <is>
          <t>7121</t>
        </is>
      </c>
      <c r="B43" s="74" t="inlineStr">
        <is>
          <t>Dim Nuit PACO</t>
        </is>
      </c>
      <c r="C43" s="74" t="inlineStr">
        <is>
          <t>22:00</t>
        </is>
      </c>
      <c r="D43" s="74" t="inlineStr">
        <is>
          <t>06:00</t>
        </is>
      </c>
      <c r="E43" s="74" t="n">
        <v>8</v>
      </c>
      <c r="F43" s="74" t="n">
        <v>8</v>
      </c>
      <c r="G43" s="84" t="n"/>
    </row>
    <row r="44" ht="15" customHeight="1" s="67">
      <c r="A44" s="74" t="inlineStr">
        <is>
          <t>X_AM</t>
        </is>
      </c>
      <c r="B44" s="74" t="inlineStr">
        <is>
          <t>Extra Matin</t>
        </is>
      </c>
      <c r="C44" s="74" t="inlineStr">
        <is>
          <t>06:00</t>
        </is>
      </c>
      <c r="D44" s="74" t="inlineStr">
        <is>
          <t>14:00</t>
        </is>
      </c>
      <c r="E44" s="74" t="n">
        <v>8</v>
      </c>
      <c r="F44" s="74" t="n">
        <v>2</v>
      </c>
      <c r="G44" s="85" t="n"/>
    </row>
    <row r="45" ht="15" customHeight="1" s="67">
      <c r="A45" s="74" t="inlineStr">
        <is>
          <t>X_PM</t>
        </is>
      </c>
      <c r="B45" s="74" t="inlineStr">
        <is>
          <t>Extra PM</t>
        </is>
      </c>
      <c r="C45" s="74" t="inlineStr">
        <is>
          <t>14:00</t>
        </is>
      </c>
      <c r="D45" s="74" t="inlineStr">
        <is>
          <t>22:00</t>
        </is>
      </c>
      <c r="E45" s="74" t="n">
        <v>8</v>
      </c>
      <c r="F45" s="74" t="n">
        <v>2</v>
      </c>
      <c r="G45" s="85" t="n"/>
    </row>
    <row r="46" ht="15" customHeight="1" s="67">
      <c r="A46" s="74" t="inlineStr">
        <is>
          <t>X_10</t>
        </is>
      </c>
      <c r="B46" s="74" t="inlineStr">
        <is>
          <t>Extra 10-18</t>
        </is>
      </c>
      <c r="C46" s="74" t="inlineStr">
        <is>
          <t>10:00</t>
        </is>
      </c>
      <c r="D46" s="74" t="inlineStr">
        <is>
          <t>18:00</t>
        </is>
      </c>
      <c r="E46" s="74" t="n">
        <v>8</v>
      </c>
      <c r="F46" s="74" t="n">
        <v>0</v>
      </c>
      <c r="G46" s="86" t="n"/>
    </row>
    <row r="47" ht="15" customHeight="1" s="67">
      <c r="A47" s="69" t="n"/>
      <c r="B47" s="69" t="n"/>
      <c r="C47" s="69" t="n"/>
      <c r="D47" s="69" t="n"/>
      <c r="E47" s="69" t="n"/>
      <c r="F47" s="69" t="n"/>
      <c r="G47" s="69" t="n"/>
    </row>
    <row r="48" ht="15" customHeight="1" s="67">
      <c r="A48" s="70" t="inlineStr">
        <is>
          <t>CODES ABSENCES</t>
        </is>
      </c>
    </row>
    <row r="49" ht="15" customHeight="1" s="67">
      <c r="A49" s="73" t="inlineStr">
        <is>
          <t>Code</t>
        </is>
      </c>
      <c r="B49" s="73" t="inlineStr">
        <is>
          <t>Description</t>
        </is>
      </c>
      <c r="C49" s="69" t="n"/>
      <c r="D49" s="69" t="n"/>
      <c r="E49" s="69" t="n"/>
      <c r="F49" s="69" t="n"/>
      <c r="G49" s="73" t="inlineStr">
        <is>
          <t>Couleur</t>
        </is>
      </c>
    </row>
    <row r="50" ht="15" customHeight="1" s="67">
      <c r="A50" s="74" t="inlineStr">
        <is>
          <t>CN</t>
        </is>
      </c>
      <c r="B50" s="74" t="inlineStr">
        <is>
          <t>Congé Normal</t>
        </is>
      </c>
      <c r="C50" s="69" t="n"/>
      <c r="D50" s="69" t="n"/>
      <c r="E50" s="69" t="n"/>
      <c r="F50" s="69" t="n"/>
      <c r="G50" s="87" t="n"/>
    </row>
    <row r="51" ht="15" customHeight="1" s="67">
      <c r="A51" s="74" t="inlineStr">
        <is>
          <t>JC</t>
        </is>
      </c>
      <c r="B51" s="74" t="inlineStr">
        <is>
          <t>Jour Compensation</t>
        </is>
      </c>
      <c r="C51" s="69" t="n"/>
      <c r="D51" s="69" t="n"/>
      <c r="E51" s="69" t="n"/>
      <c r="F51" s="69" t="n"/>
      <c r="G51" s="87" t="n"/>
    </row>
    <row r="52" ht="15" customHeight="1" s="67">
      <c r="A52" s="74" t="inlineStr">
        <is>
          <t>RH</t>
        </is>
      </c>
      <c r="B52" s="74" t="inlineStr">
        <is>
          <t>Récupération Heures</t>
        </is>
      </c>
      <c r="C52" s="69" t="n"/>
      <c r="D52" s="69" t="n"/>
      <c r="E52" s="69" t="n"/>
      <c r="F52" s="69" t="n"/>
      <c r="G52" s="88" t="n"/>
    </row>
    <row r="53" ht="15" customHeight="1" s="67">
      <c r="A53" s="74" t="inlineStr">
        <is>
          <t>CH</t>
        </is>
      </c>
      <c r="B53" s="74" t="inlineStr">
        <is>
          <t>Récupération Heures</t>
        </is>
      </c>
      <c r="C53" s="69" t="n"/>
      <c r="D53" s="69" t="n"/>
      <c r="E53" s="69" t="n"/>
      <c r="F53" s="69" t="n"/>
      <c r="G53" s="89" t="n"/>
    </row>
    <row r="54" ht="15" customHeight="1" s="67">
      <c r="A54" s="74" t="inlineStr">
        <is>
          <t>RR</t>
        </is>
      </c>
      <c r="B54" s="74" t="inlineStr">
        <is>
          <t>Récupération Férié</t>
        </is>
      </c>
      <c r="C54" s="69" t="n"/>
      <c r="D54" s="69" t="n"/>
      <c r="E54" s="69" t="n"/>
      <c r="F54" s="69" t="n"/>
      <c r="G54" s="90" t="n"/>
    </row>
    <row r="55" ht="15" customHeight="1" s="67">
      <c r="A55" s="74" t="inlineStr">
        <is>
          <t>ZM</t>
        </is>
      </c>
      <c r="B55" s="74" t="inlineStr">
        <is>
          <t>Maladie (8h)</t>
        </is>
      </c>
      <c r="C55" s="69" t="n"/>
      <c r="D55" s="69" t="n"/>
      <c r="E55" s="69" t="n"/>
      <c r="F55" s="69" t="n"/>
      <c r="G55" s="91" t="n"/>
    </row>
    <row r="56" ht="15" customHeight="1" s="67">
      <c r="A56" s="92" t="inlineStr">
        <is>
          <t>CV</t>
        </is>
      </c>
      <c r="B56" s="92" t="inlineStr">
        <is>
          <t>Compensation Variable</t>
        </is>
      </c>
      <c r="G56" s="93" t="n"/>
      <c r="H56" s="66" t="n"/>
    </row>
    <row r="57">
      <c r="A57" s="94" t="inlineStr">
        <is>
          <t>AG</t>
        </is>
      </c>
      <c r="B57" s="95" t="inlineStr">
        <is>
          <t>Grève</t>
        </is>
      </c>
    </row>
  </sheetData>
  <mergeCells count="6">
    <mergeCell ref="A1:G1"/>
    <mergeCell ref="A27:G27"/>
    <mergeCell ref="A6:C6"/>
    <mergeCell ref="A48:G48"/>
    <mergeCell ref="A11:D11"/>
    <mergeCell ref="A3:B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27" activeCellId="1" sqref="L48:L49 H27"/>
    </sheetView>
  </sheetViews>
  <sheetFormatPr baseColWidth="8" defaultColWidth="8.6796875" defaultRowHeight="15" customHeight="0" zeroHeight="0" outlineLevelRow="0"/>
  <cols>
    <col width="26" customWidth="1" style="66" min="1" max="1"/>
    <col width="19.89" customWidth="1" style="66" min="2" max="2"/>
    <col width="15" customWidth="1" style="66" min="3" max="3"/>
    <col width="12" customWidth="1" style="66" min="4" max="6"/>
  </cols>
  <sheetData>
    <row r="1" ht="30" customHeight="1" s="67">
      <c r="A1" s="68" t="inlineStr">
        <is>
          <t>TABLEAU DE BORD - ANNÉE 2026</t>
        </is>
      </c>
    </row>
    <row r="2" ht="15" customHeight="1" s="67">
      <c r="A2" s="69" t="n"/>
      <c r="B2" s="69" t="n"/>
      <c r="C2" s="69" t="n"/>
      <c r="D2" s="69" t="n"/>
      <c r="E2" s="69" t="n"/>
      <c r="F2" s="69" t="n"/>
    </row>
    <row r="3" ht="15" customHeight="1" s="67">
      <c r="A3" s="70" t="inlineStr">
        <is>
          <t>SOLDES CONGÉS</t>
        </is>
      </c>
    </row>
    <row r="4" ht="15" customHeight="1" s="67">
      <c r="A4" s="69" t="n"/>
      <c r="B4" s="69" t="n"/>
      <c r="C4" s="69" t="n"/>
      <c r="D4" s="69" t="n"/>
      <c r="E4" s="69" t="n"/>
      <c r="F4" s="69" t="n"/>
    </row>
    <row r="5" ht="15" customHeight="1" s="67">
      <c r="A5" s="73" t="inlineStr">
        <is>
          <t>Type</t>
        </is>
      </c>
      <c r="B5" s="73" t="inlineStr">
        <is>
          <t>Droit</t>
        </is>
      </c>
      <c r="C5" s="73" t="inlineStr">
        <is>
          <t>Report N-1</t>
        </is>
      </c>
      <c r="D5" s="73" t="inlineStr">
        <is>
          <t>Total</t>
        </is>
      </c>
      <c r="E5" s="73" t="inlineStr">
        <is>
          <t>Pris</t>
        </is>
      </c>
      <c r="F5" s="73" t="inlineStr">
        <is>
          <t>Restant</t>
        </is>
      </c>
    </row>
    <row r="6" ht="15" customHeight="1" s="67">
      <c r="A6" s="74" t="inlineStr">
        <is>
          <t>CN</t>
        </is>
      </c>
      <c r="B6" s="74">
        <f>CONFIGURATION!B8</f>
        <v/>
      </c>
      <c r="C6" s="74">
        <f>CONFIGURATION!C8</f>
        <v/>
      </c>
      <c r="D6" s="74">
        <f>B6+C6</f>
        <v/>
      </c>
      <c r="E6" s="96">
        <f>B31</f>
        <v/>
      </c>
      <c r="F6" s="96">
        <f>B6+C6-E6</f>
        <v/>
      </c>
    </row>
    <row r="7" ht="15" customHeight="1" s="67">
      <c r="A7" s="74" t="inlineStr">
        <is>
          <t>JC</t>
        </is>
      </c>
      <c r="B7" s="74">
        <f>CONFIGURATION!B9</f>
        <v/>
      </c>
      <c r="C7" s="74">
        <f>CONFIGURATION!C9</f>
        <v/>
      </c>
      <c r="D7" s="74">
        <f>B7+C7</f>
        <v/>
      </c>
      <c r="E7" s="96">
        <f>B32</f>
        <v/>
      </c>
      <c r="F7" s="96">
        <f>B7+C7-E7</f>
        <v/>
      </c>
    </row>
    <row r="8" ht="15" customHeight="1" s="67">
      <c r="A8" s="69" t="n"/>
      <c r="B8" s="69" t="n"/>
      <c r="C8" s="69" t="n"/>
      <c r="D8" s="69" t="n"/>
      <c r="E8" s="69" t="n"/>
      <c r="F8" s="69" t="n"/>
    </row>
    <row r="9" ht="15" customHeight="1" s="67">
      <c r="A9" s="70" t="inlineStr">
        <is>
          <t>STATISTIQUES ANNUELLES</t>
        </is>
      </c>
      <c r="E9" s="69" t="n"/>
      <c r="F9" s="69" t="n"/>
    </row>
    <row r="10" ht="15" customHeight="1" s="67">
      <c r="A10" s="69" t="n"/>
      <c r="B10" s="69" t="n"/>
      <c r="C10" s="69" t="n"/>
      <c r="D10" s="69" t="n"/>
      <c r="E10" s="69" t="n"/>
      <c r="F10" s="69" t="n"/>
    </row>
    <row r="11" ht="15" customHeight="1" s="67">
      <c r="A11" s="73" t="inlineStr">
        <is>
          <t>Code</t>
        </is>
      </c>
      <c r="B11" s="73" t="inlineStr">
        <is>
          <t>Jours</t>
        </is>
      </c>
      <c r="C11" s="73" t="inlineStr">
        <is>
          <t>H.tot</t>
        </is>
      </c>
      <c r="D11" s="73" t="inlineStr">
        <is>
          <t>H.nuit</t>
        </is>
      </c>
      <c r="E11" s="69" t="n"/>
      <c r="F11" s="69" t="n"/>
    </row>
    <row r="12" ht="15" customHeight="1" s="67">
      <c r="A12" s="97" t="inlineStr">
        <is>
          <t>101</t>
        </is>
      </c>
      <c r="B12" s="97">
        <f>COUNTIF(Janvier!B6:P6,"101")+COUNTIF(Janvier!B12:R12,"101")+COUNTIF(Février!B6:P6,"101")+COUNTIF(Février!B12:R12,"101")+COUNTIF(Mars!B6:P6,"101")+COUNTIF(Mars!B12:R12,"101")+COUNTIF(Avril!B6:P6,"101")+COUNTIF(Avril!B12:R12,"101")+COUNTIF(Mai!B6:P6,"101")+COUNTIF(Mai!B12:R12,"101")+COUNTIF(Juin!B6:P6,"101")+COUNTIF(Juin!B12:R12,"101")+COUNTIF(Juillet!B6:P6,"101")+COUNTIF(Juillet!B12:R12,"101")+COUNTIF(Août!B6:P6,"101")+COUNTIF(Août!B12:R12,"101")+COUNTIF(Septembre!B6:P6,"101")+COUNTIF(Septembre!B12:R12,"101")+COUNTIF(Octobre!B6:P6,"101")+COUNTIF(Octobre!B12:R12,"101")+COUNTIF(Novembre!B6:P6,"101")+COUNTIF(Novembre!B12:R12,"101")+COUNTIF(Décembre!B6:P6,"101")+COUNTIF(Décembre!B12:R12,"101")</f>
        <v/>
      </c>
      <c r="C12" s="97">
        <f>B12*8</f>
        <v/>
      </c>
      <c r="D12" s="97">
        <f>B12*2</f>
        <v/>
      </c>
      <c r="E12" s="98" t="n"/>
      <c r="F12" s="69" t="n"/>
    </row>
    <row r="13" ht="15" customHeight="1" s="67">
      <c r="A13" s="97" t="inlineStr">
        <is>
          <t>102</t>
        </is>
      </c>
      <c r="B13" s="97">
        <f>COUNTIF(Janvier!B6:P6,"102")+COUNTIF(Janvier!B12:R12,"102")+COUNTIF(Février!B6:P6,"102")+COUNTIF(Février!B12:R12,"102")+COUNTIF(Mars!B6:P6,"102")+COUNTIF(Mars!B12:R12,"102")+COUNTIF(Avril!B6:P6,"102")+COUNTIF(Avril!B12:R12,"102")+COUNTIF(Mai!B6:P6,"102")+COUNTIF(Mai!B12:R12,"102")+COUNTIF(Juin!B6:P6,"102")+COUNTIF(Juin!B12:R12,"102")+COUNTIF(Juillet!B6:P6,"102")+COUNTIF(Juillet!B12:R12,"102")+COUNTIF(Août!B6:P6,"102")+COUNTIF(Août!B12:R12,"102")+COUNTIF(Septembre!B6:P6,"102")+COUNTIF(Septembre!B12:R12,"102")+COUNTIF(Octobre!B6:P6,"102")+COUNTIF(Octobre!B12:R12,"102")+COUNTIF(Novembre!B6:P6,"102")+COUNTIF(Novembre!B12:R12,"102")+COUNTIF(Décembre!B6:P6,"102")+COUNTIF(Décembre!B12:R12,"102")</f>
        <v/>
      </c>
      <c r="C13" s="97">
        <f>B13*8</f>
        <v/>
      </c>
      <c r="D13" s="97">
        <f>B13*2</f>
        <v/>
      </c>
      <c r="E13" s="98" t="n"/>
      <c r="F13" s="69" t="n"/>
    </row>
    <row r="14" ht="15" customHeight="1" s="67">
      <c r="A14" s="97" t="inlineStr">
        <is>
          <t>111</t>
        </is>
      </c>
      <c r="B14" s="97">
        <f>COUNTIF(Janvier!B6:P6,"111")+COUNTIF(Janvier!B12:R12,"111")+COUNTIF(Février!B6:P6,"111")+COUNTIF(Février!B12:R12,"111")+COUNTIF(Mars!B6:P6,"111")+COUNTIF(Mars!B12:R12,"111")+COUNTIF(Avril!B6:P6,"111")+COUNTIF(Avril!B12:R12,"111")+COUNTIF(Mai!B6:P6,"111")+COUNTIF(Mai!B12:R12,"111")+COUNTIF(Juin!B6:P6,"111")+COUNTIF(Juin!B12:R12,"111")+COUNTIF(Juillet!B6:P6,"111")+COUNTIF(Juillet!B12:R12,"111")+COUNTIF(Août!B6:P6,"111")+COUNTIF(Août!B12:R12,"111")+COUNTIF(Septembre!B6:P6,"111")+COUNTIF(Septembre!B12:R12,"111")+COUNTIF(Octobre!B6:P6,"111")+COUNTIF(Octobre!B12:R12,"111")+COUNTIF(Novembre!B6:P6,"111")+COUNTIF(Novembre!B12:R12,"111")+COUNTIF(Décembre!B6:P6,"111")+COUNTIF(Décembre!B12:R12,"111")</f>
        <v/>
      </c>
      <c r="C14" s="97">
        <f>B14*8</f>
        <v/>
      </c>
      <c r="D14" s="97">
        <f>B14*2</f>
        <v/>
      </c>
      <c r="E14" s="98" t="n"/>
      <c r="F14" s="69" t="n"/>
    </row>
    <row r="15" ht="15" customHeight="1" s="67">
      <c r="A15" s="97" t="inlineStr">
        <is>
          <t>112</t>
        </is>
      </c>
      <c r="B15" s="97">
        <f>COUNTIF(Janvier!B6:P6,"112")+COUNTIF(Janvier!B12:R12,"112")+COUNTIF(Février!B6:P6,"112")+COUNTIF(Février!B12:R12,"112")+COUNTIF(Mars!B6:P6,"112")+COUNTIF(Mars!B12:R12,"112")+COUNTIF(Avril!B6:P6,"112")+COUNTIF(Avril!B12:R12,"112")+COUNTIF(Mai!B6:P6,"112")+COUNTIF(Mai!B12:R12,"112")+COUNTIF(Juin!B6:P6,"112")+COUNTIF(Juin!B12:R12,"112")+COUNTIF(Juillet!B6:P6,"112")+COUNTIF(Juillet!B12:R12,"112")+COUNTIF(Août!B6:P6,"112")+COUNTIF(Août!B12:R12,"112")+COUNTIF(Septembre!B6:P6,"112")+COUNTIF(Septembre!B12:R12,"112")+COUNTIF(Octobre!B6:P6,"112")+COUNTIF(Octobre!B12:R12,"112")+COUNTIF(Novembre!B6:P6,"112")+COUNTIF(Novembre!B12:R12,"112")+COUNTIF(Décembre!B6:P6,"112")+COUNTIF(Décembre!B12:R12,"112")</f>
        <v/>
      </c>
      <c r="C15" s="97">
        <f>B15*8</f>
        <v/>
      </c>
      <c r="D15" s="97">
        <f>B15*2</f>
        <v/>
      </c>
      <c r="E15" s="98" t="n"/>
      <c r="F15" s="69" t="n"/>
    </row>
    <row r="16" ht="15" customHeight="1" s="67">
      <c r="A16" s="97" t="inlineStr">
        <is>
          <t>121</t>
        </is>
      </c>
      <c r="B16" s="97">
        <f>COUNTIF(Janvier!B6:P6,"121")+COUNTIF(Janvier!B12:R12,"121")+COUNTIF(Février!B6:P6,"121")+COUNTIF(Février!B12:R12,"121")+COUNTIF(Mars!B6:P6,"121")+COUNTIF(Mars!B12:R12,"121")+COUNTIF(Avril!B6:P6,"121")+COUNTIF(Avril!B12:R12,"121")+COUNTIF(Mai!B6:P6,"121")+COUNTIF(Mai!B12:R12,"121")+COUNTIF(Juin!B6:P6,"121")+COUNTIF(Juin!B12:R12,"121")+COUNTIF(Juillet!B6:P6,"121")+COUNTIF(Juillet!B12:R12,"121")+COUNTIF(Août!B6:P6,"121")+COUNTIF(Août!B12:R12,"121")+COUNTIF(Septembre!B6:P6,"121")+COUNTIF(Septembre!B12:R12,"121")+COUNTIF(Octobre!B6:P6,"121")+COUNTIF(Octobre!B12:R12,"121")+COUNTIF(Novembre!B6:P6,"121")+COUNTIF(Novembre!B12:R12,"121")+COUNTIF(Décembre!B6:P6,"121")+COUNTIF(Décembre!B12:R12,"121")</f>
        <v/>
      </c>
      <c r="C16" s="97">
        <f>B16*8</f>
        <v/>
      </c>
      <c r="D16" s="97">
        <f>B16*8</f>
        <v/>
      </c>
      <c r="E16" s="98" t="n"/>
      <c r="F16" s="69" t="n"/>
    </row>
    <row r="17" ht="15" customHeight="1" s="67">
      <c r="A17" s="97" t="inlineStr">
        <is>
          <t>6101</t>
        </is>
      </c>
      <c r="B17" s="97">
        <f>COUNTIF(Janvier!B6:P6,"6101")+COUNTIF(Janvier!B12:R12,"6101")+COUNTIF(Février!B6:P6,"6101")+COUNTIF(Février!B12:R12,"6101")+COUNTIF(Mars!B6:P6,"6101")+COUNTIF(Mars!B12:R12,"6101")+COUNTIF(Avril!B6:P6,"6101")+COUNTIF(Avril!B12:R12,"6101")+COUNTIF(Mai!B6:P6,"6101")+COUNTIF(Mai!B12:R12,"6101")+COUNTIF(Juin!B6:P6,"6101")+COUNTIF(Juin!B12:R12,"6101")+COUNTIF(Juillet!B6:P6,"6101")+COUNTIF(Juillet!B12:R12,"6101")+COUNTIF(Août!B6:P6,"6101")+COUNTIF(Août!B12:R12,"6101")+COUNTIF(Septembre!B6:P6,"6101")+COUNTIF(Septembre!B12:R12,"6101")+COUNTIF(Octobre!B6:P6,"6101")+COUNTIF(Octobre!B12:R12,"6101")+COUNTIF(Novembre!B6:P6,"6101")+COUNTIF(Novembre!B12:R12,"6101")+COUNTIF(Décembre!B6:P6,"6101")+COUNTIF(Décembre!B12:R12,"6101")</f>
        <v/>
      </c>
      <c r="C17" s="97">
        <f>B17*8</f>
        <v/>
      </c>
      <c r="D17" s="97">
        <f>B17*2</f>
        <v/>
      </c>
      <c r="E17" s="98" t="n"/>
      <c r="F17" s="69" t="n"/>
    </row>
    <row r="18" ht="15" customHeight="1" s="67">
      <c r="A18" s="97" t="inlineStr">
        <is>
          <t>6102</t>
        </is>
      </c>
      <c r="B18" s="97">
        <f>COUNTIF(Janvier!B6:P6,"6102")+COUNTIF(Janvier!B12:R12,"6102")+COUNTIF(Février!B6:P6,"6102")+COUNTIF(Février!B12:R12,"6102")+COUNTIF(Mars!B6:P6,"6102")+COUNTIF(Mars!B12:R12,"6102")+COUNTIF(Avril!B6:P6,"6102")+COUNTIF(Avril!B12:R12,"6102")+COUNTIF(Mai!B6:P6,"6102")+COUNTIF(Mai!B12:R12,"6102")+COUNTIF(Juin!B6:P6,"6102")+COUNTIF(Juin!B12:R12,"6102")+COUNTIF(Juillet!B6:P6,"6102")+COUNTIF(Juillet!B12:R12,"6102")+COUNTIF(Août!B6:P6,"6102")+COUNTIF(Août!B12:R12,"6102")+COUNTIF(Septembre!B6:P6,"6102")+COUNTIF(Septembre!B12:R12,"6102")+COUNTIF(Octobre!B6:P6,"6102")+COUNTIF(Octobre!B12:R12,"6102")+COUNTIF(Novembre!B6:P6,"6102")+COUNTIF(Novembre!B12:R12,"6102")+COUNTIF(Décembre!B6:P6,"6102")+COUNTIF(Décembre!B12:R12,"6102")</f>
        <v/>
      </c>
      <c r="C18" s="97">
        <f>B18*8</f>
        <v/>
      </c>
      <c r="D18" s="97">
        <f>B18*2</f>
        <v/>
      </c>
      <c r="E18" s="98" t="n"/>
      <c r="F18" s="69" t="n"/>
    </row>
    <row r="19" ht="15" customHeight="1" s="67">
      <c r="A19" s="97" t="inlineStr">
        <is>
          <t>6111</t>
        </is>
      </c>
      <c r="B19" s="97">
        <f>COUNTIF(Janvier!B6:P6,"6111")+COUNTIF(Janvier!B12:R12,"6111")+COUNTIF(Février!B6:P6,"6111")+COUNTIF(Février!B12:R12,"6111")+COUNTIF(Mars!B6:P6,"6111")+COUNTIF(Mars!B12:R12,"6111")+COUNTIF(Avril!B6:P6,"6111")+COUNTIF(Avril!B12:R12,"6111")+COUNTIF(Mai!B6:P6,"6111")+COUNTIF(Mai!B12:R12,"6111")+COUNTIF(Juin!B6:P6,"6111")+COUNTIF(Juin!B12:R12,"6111")+COUNTIF(Juillet!B6:P6,"6111")+COUNTIF(Juillet!B12:R12,"6111")+COUNTIF(Août!B6:P6,"6111")+COUNTIF(Août!B12:R12,"6111")+COUNTIF(Septembre!B6:P6,"6111")+COUNTIF(Septembre!B12:R12,"6111")+COUNTIF(Octobre!B6:P6,"6111")+COUNTIF(Octobre!B12:R12,"6111")+COUNTIF(Novembre!B6:P6,"6111")+COUNTIF(Novembre!B12:R12,"6111")+COUNTIF(Décembre!B6:P6,"6111")+COUNTIF(Décembre!B12:R12,"6111")</f>
        <v/>
      </c>
      <c r="C19" s="97">
        <f>B19*8</f>
        <v/>
      </c>
      <c r="D19" s="97">
        <f>B19*2</f>
        <v/>
      </c>
      <c r="E19" s="98" t="n"/>
      <c r="F19" s="69" t="n"/>
    </row>
    <row r="20" ht="15" customHeight="1" s="67">
      <c r="A20" s="97" t="inlineStr">
        <is>
          <t>6112</t>
        </is>
      </c>
      <c r="B20" s="97">
        <f>COUNTIF(Janvier!B6:P6,"6112")+COUNTIF(Janvier!B12:R12,"6112")+COUNTIF(Février!B6:P6,"6112")+COUNTIF(Février!B12:R12,"6112")+COUNTIF(Mars!B6:P6,"6112")+COUNTIF(Mars!B12:R12,"6112")+COUNTIF(Avril!B6:P6,"6112")+COUNTIF(Avril!B12:R12,"6112")+COUNTIF(Mai!B6:P6,"6112")+COUNTIF(Mai!B12:R12,"6112")+COUNTIF(Juin!B6:P6,"6112")+COUNTIF(Juin!B12:R12,"6112")+COUNTIF(Juillet!B6:P6,"6112")+COUNTIF(Juillet!B12:R12,"6112")+COUNTIF(Août!B6:P6,"6112")+COUNTIF(Août!B12:R12,"6112")+COUNTIF(Septembre!B6:P6,"6112")+COUNTIF(Septembre!B12:R12,"6112")+COUNTIF(Octobre!B6:P6,"6112")+COUNTIF(Octobre!B12:R12,"6112")+COUNTIF(Novembre!B6:P6,"6112")+COUNTIF(Novembre!B12:R12,"6112")+COUNTIF(Décembre!B6:P6,"6112")+COUNTIF(Décembre!B12:R12,"6112")</f>
        <v/>
      </c>
      <c r="C20" s="97">
        <f>B20*8</f>
        <v/>
      </c>
      <c r="D20" s="97">
        <f>B20*2</f>
        <v/>
      </c>
      <c r="E20" s="98" t="n"/>
      <c r="F20" s="69" t="n"/>
    </row>
    <row r="21" ht="15" customHeight="1" s="67">
      <c r="A21" s="97" t="inlineStr">
        <is>
          <t>6121</t>
        </is>
      </c>
      <c r="B21" s="97">
        <f>COUNTIF(Janvier!B6:P6,"6121")+COUNTIF(Janvier!B12:R12,"6121")+COUNTIF(Février!B6:P6,"6121")+COUNTIF(Février!B12:R12,"6121")+COUNTIF(Mars!B6:P6,"6121")+COUNTIF(Mars!B12:R12,"6121")+COUNTIF(Avril!B6:P6,"6121")+COUNTIF(Avril!B12:R12,"6121")+COUNTIF(Mai!B6:P6,"6121")+COUNTIF(Mai!B12:R12,"6121")+COUNTIF(Juin!B6:P6,"6121")+COUNTIF(Juin!B12:R12,"6121")+COUNTIF(Juillet!B6:P6,"6121")+COUNTIF(Juillet!B12:R12,"6121")+COUNTIF(Août!B6:P6,"6121")+COUNTIF(Août!B12:R12,"6121")+COUNTIF(Septembre!B6:P6,"6121")+COUNTIF(Septembre!B12:R12,"6121")+COUNTIF(Octobre!B6:P6,"6121")+COUNTIF(Octobre!B12:R12,"6121")+COUNTIF(Novembre!B6:P6,"6121")+COUNTIF(Novembre!B12:R12,"6121")+COUNTIF(Décembre!B6:P6,"6121")+COUNTIF(Décembre!B12:R12,"6121")</f>
        <v/>
      </c>
      <c r="C21" s="97">
        <f>B21*8</f>
        <v/>
      </c>
      <c r="D21" s="97">
        <f>B21*8</f>
        <v/>
      </c>
      <c r="E21" s="98" t="n"/>
      <c r="F21" s="69" t="n"/>
    </row>
    <row r="22" ht="15" customHeight="1" s="67">
      <c r="A22" s="97" t="inlineStr">
        <is>
          <t>7101</t>
        </is>
      </c>
      <c r="B22" s="97">
        <f>COUNTIF(Janvier!B6:P6,"7101")+COUNTIF(Janvier!B12:R12,"7101")+COUNTIF(Février!B6:P6,"7101")+COUNTIF(Février!B12:R12,"7101")+COUNTIF(Mars!B6:P6,"7101")+COUNTIF(Mars!B12:R12,"7101")+COUNTIF(Avril!B6:P6,"7101")+COUNTIF(Avril!B12:R12,"7101")+COUNTIF(Mai!B6:P6,"7101")+COUNTIF(Mai!B12:R12,"7101")+COUNTIF(Juin!B6:P6,"7101")+COUNTIF(Juin!B12:R12,"7101")+COUNTIF(Juillet!B6:P6,"7101")+COUNTIF(Juillet!B12:R12,"7101")+COUNTIF(Août!B6:P6,"7101")+COUNTIF(Août!B12:R12,"7101")+COUNTIF(Septembre!B6:P6,"7101")+COUNTIF(Septembre!B12:R12,"7101")+COUNTIF(Octobre!B6:P6,"7101")+COUNTIF(Octobre!B12:R12,"7101")+COUNTIF(Novembre!B6:P6,"7101")+COUNTIF(Novembre!B12:R12,"7101")+COUNTIF(Décembre!B6:P6,"7101")+COUNTIF(Décembre!B12:R12,"7101")</f>
        <v/>
      </c>
      <c r="C22" s="97">
        <f>B22*8</f>
        <v/>
      </c>
      <c r="D22" s="97">
        <f>B22*2</f>
        <v/>
      </c>
      <c r="E22" s="98" t="n"/>
      <c r="F22" s="69" t="n"/>
    </row>
    <row r="23" ht="15" customHeight="1" s="67">
      <c r="A23" s="97" t="inlineStr">
        <is>
          <t>7102</t>
        </is>
      </c>
      <c r="B23" s="97">
        <f>COUNTIF(Janvier!B6:P6,"7102")+COUNTIF(Janvier!B12:R12,"7102")+COUNTIF(Février!B6:P6,"7102")+COUNTIF(Février!B12:R12,"7102")+COUNTIF(Mars!B6:P6,"7102")+COUNTIF(Mars!B12:R12,"7102")+COUNTIF(Avril!B6:P6,"7102")+COUNTIF(Avril!B12:R12,"7102")+COUNTIF(Mai!B6:P6,"7102")+COUNTIF(Mai!B12:R12,"7102")+COUNTIF(Juin!B6:P6,"7102")+COUNTIF(Juin!B12:R12,"7102")+COUNTIF(Juillet!B6:P6,"7102")+COUNTIF(Juillet!B12:R12,"7102")+COUNTIF(Août!B6:P6,"7102")+COUNTIF(Août!B12:R12,"7102")+COUNTIF(Septembre!B6:P6,"7102")+COUNTIF(Septembre!B12:R12,"7102")+COUNTIF(Octobre!B6:P6,"7102")+COUNTIF(Octobre!B12:R12,"7102")+COUNTIF(Novembre!B6:P6,"7102")+COUNTIF(Novembre!B12:R12,"7102")+COUNTIF(Décembre!B6:P6,"7102")+COUNTIF(Décembre!B12:R12,"7102")</f>
        <v/>
      </c>
      <c r="C23" s="97">
        <f>B23*8</f>
        <v/>
      </c>
      <c r="D23" s="97">
        <f>B23*2</f>
        <v/>
      </c>
      <c r="E23" s="98" t="n"/>
      <c r="F23" s="69" t="n"/>
    </row>
    <row r="24" ht="15" customHeight="1" s="67">
      <c r="A24" s="97" t="inlineStr">
        <is>
          <t>7111</t>
        </is>
      </c>
      <c r="B24" s="97">
        <f>COUNTIF(Janvier!B6:P6,"7111")+COUNTIF(Janvier!B12:R12,"7111")+COUNTIF(Février!B6:P6,"7111")+COUNTIF(Février!B12:R12,"7111")+COUNTIF(Mars!B6:P6,"7111")+COUNTIF(Mars!B12:R12,"7111")+COUNTIF(Avril!B6:P6,"7111")+COUNTIF(Avril!B12:R12,"7111")+COUNTIF(Mai!B6:P6,"7111")+COUNTIF(Mai!B12:R12,"7111")+COUNTIF(Juin!B6:P6,"7111")+COUNTIF(Juin!B12:R12,"7111")+COUNTIF(Juillet!B6:P6,"7111")+COUNTIF(Juillet!B12:R12,"7111")+COUNTIF(Août!B6:P6,"7111")+COUNTIF(Août!B12:R12,"7111")+COUNTIF(Septembre!B6:P6,"7111")+COUNTIF(Septembre!B12:R12,"7111")+COUNTIF(Octobre!B6:P6,"7111")+COUNTIF(Octobre!B12:R12,"7111")+COUNTIF(Novembre!B6:P6,"7111")+COUNTIF(Novembre!B12:R12,"7111")+COUNTIF(Décembre!B6:P6,"7111")+COUNTIF(Décembre!B12:R12,"7111")</f>
        <v/>
      </c>
      <c r="C24" s="97">
        <f>B24*8</f>
        <v/>
      </c>
      <c r="D24" s="97">
        <f>B24*2</f>
        <v/>
      </c>
      <c r="E24" s="98" t="n"/>
      <c r="F24" s="69" t="n"/>
    </row>
    <row r="25" ht="15" customHeight="1" s="67">
      <c r="A25" s="97" t="inlineStr">
        <is>
          <t>7112</t>
        </is>
      </c>
      <c r="B25" s="97">
        <f>COUNTIF(Janvier!B6:P6,"7112")+COUNTIF(Janvier!B12:R12,"7112")+COUNTIF(Février!B6:P6,"7112")+COUNTIF(Février!B12:R12,"7112")+COUNTIF(Mars!B6:P6,"7112")+COUNTIF(Mars!B12:R12,"7112")+COUNTIF(Avril!B6:P6,"7112")+COUNTIF(Avril!B12:R12,"7112")+COUNTIF(Mai!B6:P6,"7112")+COUNTIF(Mai!B12:R12,"7112")+COUNTIF(Juin!B6:P6,"7112")+COUNTIF(Juin!B12:R12,"7112")+COUNTIF(Juillet!B6:P6,"7112")+COUNTIF(Juillet!B12:R12,"7112")+COUNTIF(Août!B6:P6,"7112")+COUNTIF(Août!B12:R12,"7112")+COUNTIF(Septembre!B6:P6,"7112")+COUNTIF(Septembre!B12:R12,"7112")+COUNTIF(Octobre!B6:P6,"7112")+COUNTIF(Octobre!B12:R12,"7112")+COUNTIF(Novembre!B6:P6,"7112")+COUNTIF(Novembre!B12:R12,"7112")+COUNTIF(Décembre!B6:P6,"7112")+COUNTIF(Décembre!B12:R12,"7112")</f>
        <v/>
      </c>
      <c r="C25" s="97">
        <f>B25*8</f>
        <v/>
      </c>
      <c r="D25" s="97">
        <f>B25*2</f>
        <v/>
      </c>
      <c r="E25" s="98" t="n"/>
      <c r="F25" s="69" t="n"/>
    </row>
    <row r="26" ht="15" customHeight="1" s="67">
      <c r="A26" s="97" t="inlineStr">
        <is>
          <t>7121</t>
        </is>
      </c>
      <c r="B26" s="97">
        <f>COUNTIF(Janvier!B6:P6,"7121")+COUNTIF(Janvier!B12:R12,"7121")+COUNTIF(Février!B6:P6,"7121")+COUNTIF(Février!B12:R12,"7121")+COUNTIF(Mars!B6:P6,"7121")+COUNTIF(Mars!B12:R12,"7121")+COUNTIF(Avril!B6:P6,"7121")+COUNTIF(Avril!B12:R12,"7121")+COUNTIF(Mai!B6:P6,"7121")+COUNTIF(Mai!B12:R12,"7121")+COUNTIF(Juin!B6:P6,"7121")+COUNTIF(Juin!B12:R12,"7121")+COUNTIF(Juillet!B6:P6,"7121")+COUNTIF(Juillet!B12:R12,"7121")+COUNTIF(Août!B6:P6,"7121")+COUNTIF(Août!B12:R12,"7121")+COUNTIF(Septembre!B6:P6,"7121")+COUNTIF(Septembre!B12:R12,"7121")+COUNTIF(Octobre!B6:P6,"7121")+COUNTIF(Octobre!B12:R12,"7121")+COUNTIF(Novembre!B6:P6,"7121")+COUNTIF(Novembre!B12:R12,"7121")+COUNTIF(Décembre!B6:P6,"7121")+COUNTIF(Décembre!B12:R12,"7121")</f>
        <v/>
      </c>
      <c r="C26" s="97">
        <f>B26*8</f>
        <v/>
      </c>
      <c r="D26" s="97">
        <f>B26*8</f>
        <v/>
      </c>
      <c r="E26" s="98" t="n"/>
      <c r="F26" s="69" t="n"/>
    </row>
    <row r="27" ht="15" customHeight="1" s="67">
      <c r="A27" s="97" t="inlineStr">
        <is>
          <t>X_AM</t>
        </is>
      </c>
      <c r="B27" s="97">
        <f>COUNTIF(Janvier!B6:P6,"X_AM")+COUNTIF(Janvier!B12:R12,"X_AM")+COUNTIF(Février!B6:P6,"X_AM")+COUNTIF(Février!B12:R12,"X_AM")+COUNTIF(Mars!B6:P6,"X_AM")+COUNTIF(Mars!B12:R12,"X_AM")+COUNTIF(Avril!B6:P6,"X_AM")+COUNTIF(Avril!B12:R12,"X_AM")+COUNTIF(Mai!B6:P6,"X_AM")+COUNTIF(Mai!B12:R12,"X_AM")+COUNTIF(Juin!B6:P6,"X_AM")+COUNTIF(Juin!B12:R12,"X_AM")+COUNTIF(Juillet!B6:P6,"X_AM")+COUNTIF(Juillet!B12:R12,"X_AM")+COUNTIF(Août!B6:P6,"X_AM")+COUNTIF(Août!B12:R12,"X_AM")+COUNTIF(Septembre!B6:P6,"X_AM")+COUNTIF(Septembre!B12:R12,"X_AM")+COUNTIF(Octobre!B6:P6,"X_AM")+COUNTIF(Octobre!B12:R12,"X_AM")+COUNTIF(Novembre!B6:P6,"X_AM")+COUNTIF(Novembre!B12:R12,"X_AM")+COUNTIF(Décembre!B6:P6,"X_AM")+COUNTIF(Décembre!B12:R12,"X_AM")</f>
        <v/>
      </c>
      <c r="C27" s="97">
        <f>B27*8</f>
        <v/>
      </c>
      <c r="D27" s="97">
        <f>B27*2</f>
        <v/>
      </c>
      <c r="E27" s="98" t="n"/>
      <c r="F27" s="69" t="n"/>
    </row>
    <row r="28" ht="15" customHeight="1" s="67">
      <c r="A28" s="97" t="inlineStr">
        <is>
          <t>X_PM</t>
        </is>
      </c>
      <c r="B28" s="97">
        <f>COUNTIF(Janvier!B6:P6,"X_PM")+COUNTIF(Janvier!B12:R12,"X_PM")+COUNTIF(Février!B6:P6,"X_PM")+COUNTIF(Février!B12:R12,"X_PM")+COUNTIF(Mars!B6:P6,"X_PM")+COUNTIF(Mars!B12:R12,"X_PM")+COUNTIF(Avril!B6:P6,"X_PM")+COUNTIF(Avril!B12:R12,"X_PM")+COUNTIF(Mai!B6:P6,"X_PM")+COUNTIF(Mai!B12:R12,"X_PM")+COUNTIF(Juin!B6:P6,"X_PM")+COUNTIF(Juin!B12:R12,"X_PM")+COUNTIF(Juillet!B6:P6,"X_PM")+COUNTIF(Juillet!B12:R12,"X_PM")+COUNTIF(Août!B6:P6,"X_PM")+COUNTIF(Août!B12:R12,"X_PM")+COUNTIF(Septembre!B6:P6,"X_PM")+COUNTIF(Septembre!B12:R12,"X_PM")+COUNTIF(Octobre!B6:P6,"X_PM")+COUNTIF(Octobre!B12:R12,"X_PM")+COUNTIF(Novembre!B6:P6,"X_PM")+COUNTIF(Novembre!B12:R12,"X_PM")+COUNTIF(Décembre!B6:P6,"X_PM")+COUNTIF(Décembre!B12:R12,"X_PM")</f>
        <v/>
      </c>
      <c r="C28" s="97">
        <f>B28*8</f>
        <v/>
      </c>
      <c r="D28" s="97">
        <f>B28*2</f>
        <v/>
      </c>
      <c r="E28" s="98" t="n"/>
      <c r="F28" s="69" t="n"/>
    </row>
    <row r="29" ht="15" customHeight="1" s="67">
      <c r="A29" s="97" t="inlineStr">
        <is>
          <t>X_10</t>
        </is>
      </c>
      <c r="B29" s="97">
        <f>COUNTIF(Janvier!B6:P6,"X_10")+COUNTIF(Janvier!B12:R12,"X_10")+COUNTIF(Février!B6:P6,"X_10")+COUNTIF(Février!B12:R12,"X_10")+COUNTIF(Mars!B6:P6,"X_10")+COUNTIF(Mars!B12:R12,"X_10")+COUNTIF(Avril!B6:P6,"X_10")+COUNTIF(Avril!B12:R12,"X_10")+COUNTIF(Mai!B6:P6,"X_10")+COUNTIF(Mai!B12:R12,"X_10")+COUNTIF(Juin!B6:P6,"X_10")+COUNTIF(Juin!B12:R12,"X_10")+COUNTIF(Juillet!B6:P6,"X_10")+COUNTIF(Juillet!B12:R12,"X_10")+COUNTIF(Août!B6:P6,"X_10")+COUNTIF(Août!B12:R12,"X_10")+COUNTIF(Septembre!B6:P6,"X_10")+COUNTIF(Septembre!B12:R12,"X_10")+COUNTIF(Octobre!B6:P6,"X_10")+COUNTIF(Octobre!B12:R12,"X_10")+COUNTIF(Novembre!B6:P6,"X_10")+COUNTIF(Novembre!B12:R12,"X_10")+COUNTIF(Décembre!B6:P6,"X_10")+COUNTIF(Décembre!B12:R12,"X_10")</f>
        <v/>
      </c>
      <c r="C29" s="97">
        <f>B29*8</f>
        <v/>
      </c>
      <c r="D29" s="97" t="n">
        <v>0</v>
      </c>
      <c r="E29" s="98" t="n"/>
      <c r="F29" s="69" t="n"/>
    </row>
    <row r="30" ht="15" customHeight="1" s="67">
      <c r="A30" s="99" t="inlineStr">
        <is>
          <t>AG</t>
        </is>
      </c>
      <c r="B30" s="99">
        <f>COUNTIF(Janvier!B6:P6,"AG")+COUNTIF(Janvier!B12:R12,"AG")+COUNTIF(Février!B6:P6,"AG")+COUNTIF(Février!B12:R12,"AG")+COUNTIF(Mars!B6:P6,"AG")+COUNTIF(Mars!B12:R12,"AG")+COUNTIF(Avril!B6:P6,"AG")+COUNTIF(Avril!B12:R12,"AG")+COUNTIF(Mai!B6:P6,"AG")+COUNTIF(Mai!B12:R12,"AG")+COUNTIF(Juin!B6:P6,"AG")+COUNTIF(Juin!B12:R12,"AG")+COUNTIF(Juillet!B6:P6,"AG")+COUNTIF(Juillet!B12:R12,"AG")+COUNTIF(Août!B6:P6,"AG")+COUNTIF(Août!B12:R12,"AG")+COUNTIF(Septembre!B6:P6,"AG")+COUNTIF(Septembre!B12:R12,"AG")+COUNTIF(Octobre!B6:P6,"AG")+COUNTIF(Octobre!B12:R12,"AG")+COUNTIF(Novembre!B6:P6,"AG")+COUNTIF(Novembre!B12:R12,"AG")+COUNTIF(Décembre!B6:P6,"AG")+COUNTIF(Décembre!B12:R12,"AG")</f>
        <v/>
      </c>
      <c r="C30" s="99">
        <f>B30*8</f>
        <v/>
      </c>
      <c r="D30" s="99" t="n">
        <v>0</v>
      </c>
      <c r="E30" s="98" t="n"/>
      <c r="F30" s="69" t="n"/>
    </row>
    <row r="31" ht="15" customHeight="1" s="67">
      <c r="A31" s="97" t="inlineStr">
        <is>
          <t>CN</t>
        </is>
      </c>
      <c r="B31" s="97">
        <f>COUNTIF(Janvier!B6:P6,"CN")+COUNTIF(Janvier!B12:R12,"CN")+COUNTIF(Février!B6:P6,"CN")+COUNTIF(Février!B12:R12,"CN")+COUNTIF(Mars!B6:P6,"CN")+COUNTIF(Mars!B12:R12,"CN")+COUNTIF(Avril!B6:P6,"CN")+COUNTIF(Avril!B12:R12,"CN")+COUNTIF(Mai!B6:P6,"CN")+COUNTIF(Mai!B12:R12,"CN")+COUNTIF(Juin!B6:P6,"CN")+COUNTIF(Juin!B12:R12,"CN")+COUNTIF(Juillet!B6:P6,"CN")+COUNTIF(Juillet!B12:R12,"CN")+COUNTIF(Août!B6:P6,"CN")+COUNTIF(Août!B12:R12,"CN")+COUNTIF(Septembre!B6:P6,"CN")+COUNTIF(Septembre!B12:R12,"CN")+COUNTIF(Octobre!B6:P6,"CN")+COUNTIF(Octobre!B12:R12,"CN")+COUNTIF(Novembre!B6:P6,"CN")+COUNTIF(Novembre!B12:R12,"CN")+COUNTIF(Décembre!B6:P6,"CN")+COUNTIF(Décembre!B12:R12,"CN")</f>
        <v/>
      </c>
      <c r="C31" s="97">
        <f>B31*8</f>
        <v/>
      </c>
      <c r="D31" s="97" t="n">
        <v>0</v>
      </c>
      <c r="E31" s="98" t="n"/>
      <c r="F31" s="69" t="n"/>
    </row>
    <row r="32" ht="15" customHeight="1" s="67">
      <c r="A32" s="97" t="inlineStr">
        <is>
          <t>JC</t>
        </is>
      </c>
      <c r="B32" s="97">
        <f>COUNTIF(Janvier!B6:P6,"JC")+COUNTIF(Janvier!B12:R12,"JC")+COUNTIF(Février!B6:P6,"JC")+COUNTIF(Février!B12:R12,"JC")+COUNTIF(Mars!B6:P6,"JC")+COUNTIF(Mars!B12:R12,"JC")+COUNTIF(Avril!B6:P6,"JC")+COUNTIF(Avril!B12:R12,"JC")+COUNTIF(Mai!B6:P6,"JC")+COUNTIF(Mai!B12:R12,"JC")+COUNTIF(Juin!B6:P6,"JC")+COUNTIF(Juin!B12:R12,"JC")+COUNTIF(Juillet!B6:P6,"JC")+COUNTIF(Juillet!B12:R12,"JC")+COUNTIF(Août!B6:P6,"JC")+COUNTIF(Août!B12:R12,"JC")+COUNTIF(Septembre!B6:P6,"JC")+COUNTIF(Septembre!B12:R12,"JC")+COUNTIF(Octobre!B6:P6,"JC")+COUNTIF(Octobre!B12:R12,"JC")+COUNTIF(Novembre!B6:P6,"JC")+COUNTIF(Novembre!B12:R12,"JC")+COUNTIF(Décembre!B6:P6,"JC")+COUNTIF(Décembre!B12:R12,"JC")</f>
        <v/>
      </c>
      <c r="C32" s="97">
        <f>B32*8</f>
        <v/>
      </c>
      <c r="D32" s="97" t="n">
        <v>0</v>
      </c>
      <c r="E32" s="98" t="n"/>
      <c r="F32" s="69" t="n"/>
    </row>
    <row r="33" ht="15" customHeight="1" s="67">
      <c r="A33" s="97" t="inlineStr">
        <is>
          <t>RH</t>
        </is>
      </c>
      <c r="B33" s="97">
        <f>COUNTIF(Janvier!B6:P6,"RH")+COUNTIF(Janvier!B12:R12,"RH")+COUNTIF(Février!B6:P6,"RH")+COUNTIF(Février!B12:R12,"RH")+COUNTIF(Mars!B6:P6,"RH")+COUNTIF(Mars!B12:R12,"RH")+COUNTIF(Avril!B6:P6,"RH")+COUNTIF(Avril!B12:R12,"RH")+COUNTIF(Mai!B6:P6,"RH")+COUNTIF(Mai!B12:R12,"RH")+COUNTIF(Juin!B6:P6,"RH")+COUNTIF(Juin!B12:R12,"RH")+COUNTIF(Juillet!B6:P6,"RH")+COUNTIF(Juillet!B12:R12,"RH")+COUNTIF(Août!B6:P6,"RH")+COUNTIF(Août!B12:R12,"RH")+COUNTIF(Septembre!B6:P6,"RH")+COUNTIF(Septembre!B12:R12,"RH")+COUNTIF(Octobre!B6:P6,"RH")+COUNTIF(Octobre!B12:R12,"RH")+COUNTIF(Novembre!B6:P6,"RH")+COUNTIF(Novembre!B12:R12,"RH")+COUNTIF(Décembre!B6:P6,"RH")+COUNTIF(Décembre!B12:R12,"RH")</f>
        <v/>
      </c>
      <c r="C33" s="97" t="n">
        <v>0</v>
      </c>
      <c r="D33" s="97" t="n">
        <v>0</v>
      </c>
      <c r="E33" s="98" t="n"/>
      <c r="F33" s="69" t="n"/>
    </row>
    <row r="34" ht="15" customHeight="1" s="67">
      <c r="A34" s="97" t="inlineStr">
        <is>
          <t>CH</t>
        </is>
      </c>
      <c r="B34" s="97">
        <f>COUNTIF(Janvier!B6:P6,"CH")+COUNTIF(Janvier!B12:R12,"CH")+COUNTIF(Février!B6:P6,"CH")+COUNTIF(Février!B12:R12,"CH")+COUNTIF(Mars!B6:P6,"CH")+COUNTIF(Mars!B12:R12,"CH")+COUNTIF(Avril!B6:P6,"CH")+COUNTIF(Avril!B12:R12,"CH")+COUNTIF(Mai!B6:P6,"CH")+COUNTIF(Mai!B12:R12,"CH")+COUNTIF(Juin!B6:P6,"CH")+COUNTIF(Juin!B12:R12,"CH")+COUNTIF(Juillet!B6:P6,"CH")+COUNTIF(Juillet!B12:R12,"CH")+COUNTIF(Août!B6:P6,"CH")+COUNTIF(Août!B12:R12,"CH")+COUNTIF(Septembre!B6:P6,"CH")+COUNTIF(Septembre!B12:R12,"CH")+COUNTIF(Octobre!B6:P6,"CH")+COUNTIF(Octobre!B12:R12,"CH")+COUNTIF(Novembre!B6:P6,"CH")+COUNTIF(Novembre!B12:R12,"CH")+COUNTIF(Décembre!B6:P6,"CH")+COUNTIF(Décembre!B12:R12,"CH")</f>
        <v/>
      </c>
      <c r="C34" s="97" t="n">
        <v>0</v>
      </c>
      <c r="D34" s="97" t="n">
        <v>0</v>
      </c>
      <c r="E34" s="98" t="n"/>
      <c r="F34" s="69" t="n"/>
    </row>
    <row r="35" ht="15" customHeight="1" s="67">
      <c r="A35" s="97" t="inlineStr">
        <is>
          <t>RR</t>
        </is>
      </c>
      <c r="B35" s="97">
        <f>COUNTIF(Janvier!B6:P6,"RR")+COUNTIF(Janvier!B12:R12,"RR")+COUNTIF(Février!B6:P6,"RR")+COUNTIF(Février!B12:R12,"RR")+COUNTIF(Mars!B6:P6,"RR")+COUNTIF(Mars!B12:R12,"RR")+COUNTIF(Avril!B6:P6,"RR")+COUNTIF(Avril!B12:R12,"RR")+COUNTIF(Mai!B6:P6,"RR")+COUNTIF(Mai!B12:R12,"RR")+COUNTIF(Juin!B6:P6,"RR")+COUNTIF(Juin!B12:R12,"RR")+COUNTIF(Juillet!B6:P6,"RR")+COUNTIF(Juillet!B12:R12,"RR")+COUNTIF(Août!B6:P6,"RR")+COUNTIF(Août!B12:R12,"RR")+COUNTIF(Septembre!B6:P6,"RR")+COUNTIF(Septembre!B12:R12,"RR")+COUNTIF(Octobre!B6:P6,"RR")+COUNTIF(Octobre!B12:R12,"RR")+COUNTIF(Novembre!B6:P6,"RR")+COUNTIF(Novembre!B12:R12,"RR")+COUNTIF(Décembre!B6:P6,"RR")+COUNTIF(Décembre!B12:R12,"RR")</f>
        <v/>
      </c>
      <c r="C35" s="97">
        <f>B35*8</f>
        <v/>
      </c>
      <c r="D35" s="97" t="n">
        <v>0</v>
      </c>
      <c r="E35" s="98" t="n"/>
      <c r="F35" s="69" t="n"/>
    </row>
    <row r="36" ht="15" customHeight="1" s="67">
      <c r="A36" s="100" t="inlineStr">
        <is>
          <t>CV</t>
        </is>
      </c>
      <c r="B36" s="100">
        <f>COUNTIF(Janvier!B6:P6,"CV")+COUNTIF(Janvier!B12:R12,"CV")+COUNTIF(Février!B6:P6,"CV")+COUNTIF(Février!B12:R12,"CV")+COUNTIF(Mars!B6:P6,"CV")+COUNTIF(Mars!B12:R12,"CV")+COUNTIF(Avril!B6:P6,"CV")+COUNTIF(Avril!B12:R12,"CV")+COUNTIF(Mai!B6:P6,"CV")+COUNTIF(Mai!B12:R12,"CV")+COUNTIF(Juin!B6:P6,"CV")+COUNTIF(Juin!B12:R12,"CV")+COUNTIF(Juillet!B6:P6,"CV")+COUNTIF(Juillet!B12:R12,"CV")+COUNTIF(Août!B6:P6,"CV")+COUNTIF(Août!B12:R12,"CV")+COUNTIF(Septembre!B6:P6,"CV")+COUNTIF(Septembre!B12:R12,"CV")+COUNTIF(Octobre!B6:P6,"CV")+COUNTIF(Octobre!B12:R12,"CV")+COUNTIF(Novembre!B6:P6,"CV")+COUNTIF(Novembre!B12:R12,"CV")+COUNTIF(Décembre!B6:P6,"CV")+COUNTIF(Décembre!B12:R12,"CV")</f>
        <v/>
      </c>
      <c r="C36" s="100">
        <f>B36*8</f>
        <v/>
      </c>
      <c r="D36" s="100" t="n">
        <v>0</v>
      </c>
      <c r="E36" s="98" t="n"/>
      <c r="F36" s="69" t="n"/>
    </row>
    <row r="37" ht="15" customHeight="1" s="67">
      <c r="A37" s="97" t="inlineStr">
        <is>
          <t>ZM</t>
        </is>
      </c>
      <c r="B37" s="97">
        <f>COUNTIF(Janvier!B6:P6,"ZM")+COUNTIF(Janvier!B12:R12,"ZM")+COUNTIF(Février!B6:P6,"ZM")+COUNTIF(Février!B12:R12,"ZM")+COUNTIF(Mars!B6:P6,"ZM")+COUNTIF(Mars!B12:R12,"ZM")+COUNTIF(Avril!B6:P6,"ZM")+COUNTIF(Avril!B12:R12,"ZM")+COUNTIF(Mai!B6:P6,"ZM")+COUNTIF(Mai!B12:R12,"ZM")+COUNTIF(Juin!B6:P6,"ZM")+COUNTIF(Juin!B12:R12,"ZM")+COUNTIF(Juillet!B6:P6,"ZM")+COUNTIF(Juillet!B12:R12,"ZM")+COUNTIF(Août!B6:P6,"ZM")+COUNTIF(Août!B12:R12,"ZM")+COUNTIF(Septembre!B6:P6,"ZM")+COUNTIF(Septembre!B12:R12,"ZM")+COUNTIF(Octobre!B6:P6,"ZM")+COUNTIF(Octobre!B12:R12,"ZM")+COUNTIF(Novembre!B6:P6,"ZM")+COUNTIF(Novembre!B12:R12,"ZM")+COUNTIF(Décembre!B6:P6,"ZM")+COUNTIF(Décembre!B12:R12,"ZM")</f>
        <v/>
      </c>
      <c r="C37" s="97">
        <f>B37*8</f>
        <v/>
      </c>
      <c r="D37" s="97" t="n">
        <v>0</v>
      </c>
      <c r="E37" s="98" t="n"/>
      <c r="F37" s="69" t="n"/>
    </row>
    <row r="38" ht="15" customHeight="1" s="67">
      <c r="A38" s="101" t="inlineStr">
        <is>
          <t>TOTAL</t>
        </is>
      </c>
      <c r="B38" s="101" t="n"/>
      <c r="C38" s="101">
        <f>SUM(C12:C37)</f>
        <v/>
      </c>
      <c r="D38" s="101">
        <f>SUM(D12:D37)</f>
        <v/>
      </c>
      <c r="E38" s="98" t="n"/>
      <c r="F38" s="69" t="n"/>
    </row>
    <row r="39" ht="15" customHeight="1" s="67">
      <c r="A39" s="98" t="n"/>
      <c r="B39" s="98" t="n"/>
      <c r="C39" s="98" t="n"/>
      <c r="D39" s="98" t="n"/>
      <c r="E39" s="98" t="n"/>
      <c r="F39" s="69" t="n"/>
    </row>
    <row r="40" ht="15" customHeight="1" s="67">
      <c r="A40" s="102" t="inlineStr">
        <is>
          <t>REPORT POUR 2027</t>
        </is>
      </c>
      <c r="B40" s="103" t="n"/>
      <c r="C40" s="103" t="n"/>
      <c r="D40" s="98" t="n"/>
      <c r="E40" s="98" t="n"/>
      <c r="F40" s="69" t="n"/>
    </row>
    <row r="41" ht="15" customHeight="1" s="67">
      <c r="A41" s="104" t="inlineStr">
        <is>
          <t>Type</t>
        </is>
      </c>
      <c r="B41" s="104" t="inlineStr">
        <is>
          <t>Droit</t>
        </is>
      </c>
      <c r="C41" s="104" t="inlineStr">
        <is>
          <t>Report</t>
        </is>
      </c>
      <c r="D41" s="104" t="inlineStr">
        <is>
          <t>Pris</t>
        </is>
      </c>
      <c r="E41" s="104" t="inlineStr">
        <is>
          <t>Solde</t>
        </is>
      </c>
      <c r="F41" s="69" t="n"/>
    </row>
    <row r="42" ht="15" customHeight="1" s="67">
      <c r="A42" s="105" t="inlineStr">
        <is>
          <t>CN</t>
        </is>
      </c>
      <c r="B42" s="105">
        <f>CONFIGURATION!B8</f>
        <v/>
      </c>
      <c r="C42" s="105">
        <f>CONFIGURATION!C8</f>
        <v/>
      </c>
      <c r="D42" s="105">
        <f>B31</f>
        <v/>
      </c>
      <c r="E42" s="105">
        <f>B42+C42-D42</f>
        <v/>
      </c>
      <c r="F42" s="69" t="n"/>
    </row>
    <row r="43">
      <c r="A43" s="105" t="inlineStr">
        <is>
          <t>JC</t>
        </is>
      </c>
      <c r="B43" s="105">
        <f>CONFIGURATION!B9</f>
        <v/>
      </c>
      <c r="C43" s="105">
        <f>CONFIGURATION!C9</f>
        <v/>
      </c>
      <c r="D43" s="105">
        <f>B32</f>
        <v/>
      </c>
      <c r="E43" s="105">
        <f>B43+C43-D43</f>
        <v/>
      </c>
    </row>
    <row r="44">
      <c r="A44" s="106" t="n"/>
      <c r="B44" s="106" t="n"/>
      <c r="C44" s="106" t="n"/>
      <c r="D44" s="106" t="n"/>
      <c r="E44" s="106" t="n"/>
    </row>
    <row r="45">
      <c r="A45" s="106" t="n"/>
      <c r="B45" s="106" t="n"/>
      <c r="C45" s="106" t="n"/>
      <c r="D45" s="106" t="n"/>
      <c r="E45" s="106" t="n"/>
    </row>
    <row r="46">
      <c r="A46" s="106" t="n"/>
      <c r="B46" s="106" t="n"/>
      <c r="C46" s="106" t="n"/>
      <c r="D46" s="106" t="n"/>
      <c r="E46" s="106" t="n"/>
    </row>
    <row r="47">
      <c r="A47" s="106" t="n"/>
      <c r="B47" s="106" t="n"/>
      <c r="C47" s="106" t="n"/>
      <c r="D47" s="106" t="n"/>
      <c r="E47" s="106" t="n"/>
    </row>
    <row r="48">
      <c r="A48" s="106" t="n"/>
      <c r="B48" s="106" t="n"/>
      <c r="C48" s="106" t="n"/>
      <c r="D48" s="106" t="n"/>
      <c r="E48" s="106" t="n"/>
    </row>
    <row r="49">
      <c r="A49" s="106" t="n"/>
      <c r="B49" s="106" t="n"/>
      <c r="C49" s="106" t="n"/>
      <c r="D49" s="106" t="n"/>
      <c r="E49" s="106" t="n"/>
    </row>
    <row r="50">
      <c r="A50" s="106" t="n"/>
      <c r="B50" s="106" t="n"/>
      <c r="C50" s="106" t="n"/>
      <c r="D50" s="106" t="n"/>
      <c r="E50" s="106" t="n"/>
    </row>
    <row r="51">
      <c r="A51" s="106" t="n"/>
      <c r="B51" s="106" t="n"/>
      <c r="C51" s="106" t="n"/>
      <c r="D51" s="106" t="n"/>
      <c r="E51" s="106" t="n"/>
    </row>
    <row r="52">
      <c r="A52" s="106" t="n"/>
      <c r="B52" s="106" t="n"/>
      <c r="C52" s="106" t="n"/>
      <c r="D52" s="106" t="n"/>
      <c r="E52" s="106" t="n"/>
    </row>
    <row r="53">
      <c r="A53" s="106" t="n"/>
      <c r="B53" s="106" t="n"/>
      <c r="C53" s="106" t="n"/>
      <c r="D53" s="106" t="n"/>
      <c r="E53" s="106" t="n"/>
    </row>
    <row r="54">
      <c r="A54" s="106" t="n"/>
      <c r="B54" s="106" t="n"/>
      <c r="C54" s="106" t="n"/>
      <c r="D54" s="106" t="n"/>
      <c r="E54" s="106" t="n"/>
    </row>
    <row r="55">
      <c r="A55" s="106" t="n"/>
      <c r="B55" s="106" t="n"/>
      <c r="C55" s="106" t="n"/>
      <c r="D55" s="106" t="n"/>
      <c r="E55" s="106" t="n"/>
    </row>
    <row r="56">
      <c r="A56" s="106" t="n"/>
      <c r="B56" s="106" t="n"/>
      <c r="C56" s="106" t="n"/>
      <c r="D56" s="106" t="n"/>
      <c r="E56" s="106" t="n"/>
    </row>
    <row r="57">
      <c r="A57" s="106" t="n"/>
      <c r="B57" s="106" t="n"/>
      <c r="C57" s="106" t="n"/>
      <c r="D57" s="106" t="n"/>
      <c r="E57" s="106" t="n"/>
    </row>
    <row r="58">
      <c r="A58" s="106" t="n"/>
      <c r="B58" s="106" t="n"/>
      <c r="C58" s="106" t="n"/>
      <c r="D58" s="106" t="n"/>
      <c r="E58" s="106" t="n"/>
    </row>
    <row r="59">
      <c r="A59" s="106" t="n"/>
      <c r="B59" s="106" t="n"/>
      <c r="C59" s="106" t="n"/>
      <c r="D59" s="106" t="n"/>
      <c r="E59" s="106" t="n"/>
    </row>
    <row r="60">
      <c r="A60" s="106" t="n"/>
      <c r="B60" s="106" t="n"/>
      <c r="C60" s="106" t="n"/>
      <c r="D60" s="106" t="n"/>
      <c r="E60" s="106" t="n"/>
    </row>
    <row r="61">
      <c r="A61" s="106" t="n"/>
      <c r="B61" s="106" t="n"/>
      <c r="C61" s="106" t="n"/>
      <c r="D61" s="106" t="n"/>
      <c r="E61" s="106" t="n"/>
    </row>
    <row r="62">
      <c r="A62" s="106" t="n"/>
      <c r="B62" s="106" t="n"/>
      <c r="C62" s="106" t="n"/>
      <c r="D62" s="106" t="n"/>
      <c r="E62" s="106" t="n"/>
    </row>
    <row r="63">
      <c r="A63" s="106" t="n"/>
      <c r="B63" s="106" t="n"/>
      <c r="C63" s="106" t="n"/>
      <c r="D63" s="106" t="n"/>
      <c r="E63" s="106" t="n"/>
    </row>
    <row r="64">
      <c r="A64" s="106" t="n"/>
      <c r="B64" s="106" t="n"/>
      <c r="C64" s="106" t="n"/>
      <c r="D64" s="106" t="n"/>
      <c r="E64" s="106" t="n"/>
    </row>
    <row r="65">
      <c r="A65" s="106" t="n"/>
      <c r="B65" s="106" t="n"/>
      <c r="C65" s="106" t="n"/>
      <c r="D65" s="106" t="n"/>
      <c r="E65" s="106" t="n"/>
    </row>
    <row r="66">
      <c r="A66" s="106" t="n"/>
      <c r="B66" s="106" t="n"/>
      <c r="C66" s="106" t="n"/>
      <c r="D66" s="106" t="n"/>
      <c r="E66" s="106" t="n"/>
    </row>
    <row r="67">
      <c r="A67" s="106" t="n"/>
      <c r="B67" s="106" t="n"/>
      <c r="C67" s="106" t="n"/>
      <c r="D67" s="106" t="n"/>
      <c r="E67" s="106" t="n"/>
    </row>
    <row r="68">
      <c r="A68" s="106" t="n"/>
      <c r="B68" s="106" t="n"/>
      <c r="C68" s="106" t="n"/>
      <c r="D68" s="106" t="n"/>
      <c r="E68" s="106" t="n"/>
    </row>
    <row r="69">
      <c r="A69" s="106" t="n"/>
      <c r="B69" s="106" t="n"/>
      <c r="C69" s="106" t="n"/>
      <c r="D69" s="106" t="n"/>
      <c r="E69" s="106" t="n"/>
    </row>
    <row r="70">
      <c r="A70" s="106" t="n"/>
      <c r="B70" s="106" t="n"/>
      <c r="C70" s="106" t="n"/>
      <c r="D70" s="106" t="n"/>
      <c r="E70" s="106" t="n"/>
    </row>
    <row r="71">
      <c r="A71" s="106" t="n"/>
      <c r="B71" s="106" t="n"/>
      <c r="C71" s="106" t="n"/>
      <c r="D71" s="106" t="n"/>
      <c r="E71" s="106" t="n"/>
    </row>
    <row r="72">
      <c r="A72" s="106" t="n"/>
      <c r="B72" s="106" t="n"/>
      <c r="C72" s="106" t="n"/>
      <c r="D72" s="106" t="n"/>
      <c r="E72" s="106" t="n"/>
    </row>
    <row r="73">
      <c r="A73" s="106" t="n"/>
      <c r="B73" s="106" t="n"/>
      <c r="C73" s="106" t="n"/>
      <c r="D73" s="106" t="n"/>
      <c r="E73" s="106" t="n"/>
    </row>
    <row r="74">
      <c r="A74" s="106" t="n"/>
      <c r="B74" s="106" t="n"/>
      <c r="C74" s="106" t="n"/>
      <c r="D74" s="106" t="n"/>
      <c r="E74" s="106" t="n"/>
    </row>
    <row r="75">
      <c r="A75" s="106" t="n"/>
      <c r="B75" s="106" t="n"/>
      <c r="C75" s="106" t="n"/>
      <c r="D75" s="106" t="n"/>
      <c r="E75" s="106" t="n"/>
    </row>
    <row r="76">
      <c r="A76" s="106" t="n"/>
      <c r="B76" s="106" t="n"/>
      <c r="C76" s="106" t="n"/>
      <c r="D76" s="106" t="n"/>
      <c r="E76" s="106" t="n"/>
    </row>
    <row r="77">
      <c r="A77" s="106" t="n"/>
      <c r="B77" s="106" t="n"/>
      <c r="C77" s="106" t="n"/>
      <c r="D77" s="106" t="n"/>
      <c r="E77" s="106" t="n"/>
    </row>
    <row r="78">
      <c r="A78" s="106" t="n"/>
      <c r="B78" s="106" t="n"/>
      <c r="C78" s="106" t="n"/>
      <c r="D78" s="106" t="n"/>
      <c r="E78" s="106" t="n"/>
    </row>
    <row r="79">
      <c r="A79" s="106" t="n"/>
      <c r="B79" s="106" t="n"/>
      <c r="C79" s="106" t="n"/>
      <c r="D79" s="106" t="n"/>
      <c r="E79" s="106" t="n"/>
    </row>
    <row r="80">
      <c r="A80" s="106" t="n"/>
      <c r="B80" s="106" t="n"/>
      <c r="C80" s="106" t="n"/>
      <c r="D80" s="106" t="n"/>
      <c r="E80" s="106" t="n"/>
    </row>
    <row r="81">
      <c r="A81" s="106" t="n"/>
      <c r="B81" s="106" t="n"/>
      <c r="C81" s="106" t="n"/>
      <c r="D81" s="106" t="n"/>
      <c r="E81" s="106" t="n"/>
    </row>
    <row r="82">
      <c r="A82" s="106" t="n"/>
      <c r="B82" s="106" t="n"/>
      <c r="C82" s="106" t="n"/>
      <c r="D82" s="106" t="n"/>
      <c r="E82" s="106" t="n"/>
    </row>
    <row r="83">
      <c r="A83" s="106" t="n"/>
      <c r="B83" s="106" t="n"/>
      <c r="C83" s="106" t="n"/>
      <c r="D83" s="106" t="n"/>
      <c r="E83" s="106" t="n"/>
    </row>
    <row r="84">
      <c r="A84" s="106" t="n"/>
      <c r="B84" s="106" t="n"/>
      <c r="C84" s="106" t="n"/>
      <c r="D84" s="106" t="n"/>
      <c r="E84" s="106" t="n"/>
    </row>
    <row r="85">
      <c r="A85" s="106" t="n"/>
      <c r="B85" s="106" t="n"/>
      <c r="C85" s="106" t="n"/>
      <c r="D85" s="106" t="n"/>
      <c r="E85" s="106" t="n"/>
    </row>
    <row r="86">
      <c r="A86" s="106" t="n"/>
      <c r="B86" s="106" t="n"/>
      <c r="C86" s="106" t="n"/>
      <c r="D86" s="106" t="n"/>
      <c r="E86" s="106" t="n"/>
    </row>
    <row r="87">
      <c r="A87" s="106" t="n"/>
      <c r="B87" s="106" t="n"/>
      <c r="C87" s="106" t="n"/>
      <c r="D87" s="106" t="n"/>
      <c r="E87" s="106" t="n"/>
    </row>
    <row r="88">
      <c r="A88" s="106" t="n"/>
      <c r="B88" s="106" t="n"/>
      <c r="C88" s="106" t="n"/>
      <c r="D88" s="106" t="n"/>
      <c r="E88" s="106" t="n"/>
    </row>
    <row r="89">
      <c r="A89" s="106" t="n"/>
      <c r="B89" s="106" t="n"/>
      <c r="C89" s="106" t="n"/>
      <c r="D89" s="106" t="n"/>
      <c r="E89" s="106" t="n"/>
    </row>
    <row r="90">
      <c r="A90" s="106" t="n"/>
      <c r="B90" s="106" t="n"/>
      <c r="C90" s="106" t="n"/>
      <c r="D90" s="106" t="n"/>
      <c r="E90" s="106" t="n"/>
    </row>
    <row r="91">
      <c r="A91" s="106" t="n"/>
      <c r="B91" s="106" t="n"/>
      <c r="C91" s="106" t="n"/>
      <c r="D91" s="106" t="n"/>
      <c r="E91" s="106" t="n"/>
    </row>
    <row r="92">
      <c r="A92" s="106" t="n"/>
      <c r="B92" s="106" t="n"/>
      <c r="C92" s="106" t="n"/>
      <c r="D92" s="106" t="n"/>
      <c r="E92" s="106" t="n"/>
    </row>
    <row r="93">
      <c r="A93" s="106" t="n"/>
      <c r="B93" s="106" t="n"/>
      <c r="C93" s="106" t="n"/>
      <c r="D93" s="106" t="n"/>
      <c r="E93" s="106" t="n"/>
    </row>
    <row r="94">
      <c r="A94" s="106" t="n"/>
      <c r="B94" s="106" t="n"/>
      <c r="C94" s="106" t="n"/>
      <c r="D94" s="106" t="n"/>
      <c r="E94" s="106" t="n"/>
    </row>
    <row r="95">
      <c r="A95" s="106" t="n"/>
      <c r="B95" s="106" t="n"/>
      <c r="C95" s="106" t="n"/>
      <c r="D95" s="106" t="n"/>
      <c r="E95" s="106" t="n"/>
    </row>
    <row r="96">
      <c r="A96" s="106" t="n"/>
      <c r="B96" s="106" t="n"/>
      <c r="C96" s="106" t="n"/>
      <c r="D96" s="106" t="n"/>
      <c r="E96" s="106" t="n"/>
    </row>
    <row r="97">
      <c r="A97" s="106" t="n"/>
      <c r="B97" s="106" t="n"/>
      <c r="C97" s="106" t="n"/>
      <c r="D97" s="106" t="n"/>
      <c r="E97" s="106" t="n"/>
    </row>
    <row r="98">
      <c r="A98" s="106" t="n"/>
      <c r="B98" s="106" t="n"/>
      <c r="C98" s="106" t="n"/>
      <c r="D98" s="106" t="n"/>
      <c r="E98" s="106" t="n"/>
    </row>
    <row r="99">
      <c r="A99" s="106" t="n"/>
      <c r="B99" s="106" t="n"/>
      <c r="C99" s="106" t="n"/>
      <c r="D99" s="106" t="n"/>
      <c r="E99" s="106" t="n"/>
    </row>
    <row r="100">
      <c r="A100" s="106" t="n"/>
      <c r="B100" s="106" t="n"/>
      <c r="C100" s="106" t="n"/>
      <c r="D100" s="106" t="n"/>
      <c r="E100" s="106" t="n"/>
    </row>
  </sheetData>
  <mergeCells count="3">
    <mergeCell ref="A3:F3"/>
    <mergeCell ref="A1:F1"/>
    <mergeCell ref="A9:D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Q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L48:L49 A1"/>
    </sheetView>
  </sheetViews>
  <sheetFormatPr baseColWidth="8" defaultColWidth="8.6796875" defaultRowHeight="15" customHeight="0" zeroHeight="0" outlineLevelRow="0"/>
  <cols>
    <col width="45" customWidth="1" style="66" min="1" max="1"/>
    <col width="10" customWidth="1" style="66" min="2" max="17"/>
  </cols>
  <sheetData>
    <row r="1" ht="24.75" customHeight="1" s="67">
      <c r="A1" s="107" t="inlineStr">
        <is>
          <t>JANVIER 2026</t>
        </is>
      </c>
      <c r="Q1" s="69" t="n"/>
    </row>
    <row r="2" ht="15" customHeight="1" s="67">
      <c r="A2" s="69" t="n"/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</row>
    <row r="3" ht="15" customHeight="1" s="67">
      <c r="A3" s="108" t="inlineStr">
        <is>
          <t>Jours 1-15</t>
        </is>
      </c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</row>
    <row r="4" ht="18" customHeight="1" s="67">
      <c r="A4" s="76" t="inlineStr">
        <is>
          <t>Jour</t>
        </is>
      </c>
      <c r="B4" s="109" t="n">
        <v>1</v>
      </c>
      <c r="C4" s="110" t="n">
        <v>2</v>
      </c>
      <c r="D4" s="111" t="n">
        <v>3</v>
      </c>
      <c r="E4" s="111" t="n">
        <v>4</v>
      </c>
      <c r="F4" s="110" t="n">
        <v>5</v>
      </c>
      <c r="G4" s="110" t="n">
        <v>6</v>
      </c>
      <c r="H4" s="110" t="n">
        <v>7</v>
      </c>
      <c r="I4" s="110" t="n">
        <v>8</v>
      </c>
      <c r="J4" s="110" t="n">
        <v>9</v>
      </c>
      <c r="K4" s="111" t="n">
        <v>10</v>
      </c>
      <c r="L4" s="111" t="n">
        <v>11</v>
      </c>
      <c r="M4" s="112" t="n">
        <v>12</v>
      </c>
      <c r="N4" s="110" t="n">
        <v>13</v>
      </c>
      <c r="O4" s="110" t="n">
        <v>14</v>
      </c>
      <c r="P4" s="110" t="n">
        <v>15</v>
      </c>
      <c r="Q4" s="69" t="n"/>
    </row>
    <row r="5" ht="18" customHeight="1" s="67">
      <c r="A5" s="76" t="inlineStr">
        <is>
          <t>J.sem</t>
        </is>
      </c>
      <c r="B5" s="113" t="inlineStr">
        <is>
          <t>J</t>
        </is>
      </c>
      <c r="C5" s="110" t="inlineStr">
        <is>
          <t>V</t>
        </is>
      </c>
      <c r="D5" s="111" t="inlineStr">
        <is>
          <t>S</t>
        </is>
      </c>
      <c r="E5" s="111" t="inlineStr">
        <is>
          <t>D</t>
        </is>
      </c>
      <c r="F5" s="110" t="inlineStr">
        <is>
          <t>L</t>
        </is>
      </c>
      <c r="G5" s="110" t="inlineStr">
        <is>
          <t>M</t>
        </is>
      </c>
      <c r="H5" s="110" t="inlineStr">
        <is>
          <t>M</t>
        </is>
      </c>
      <c r="I5" s="110" t="inlineStr">
        <is>
          <t>J</t>
        </is>
      </c>
      <c r="J5" s="110" t="inlineStr">
        <is>
          <t>V</t>
        </is>
      </c>
      <c r="K5" s="111" t="inlineStr">
        <is>
          <t>S</t>
        </is>
      </c>
      <c r="L5" s="111" t="inlineStr">
        <is>
          <t>D</t>
        </is>
      </c>
      <c r="M5" s="112" t="inlineStr">
        <is>
          <t>L</t>
        </is>
      </c>
      <c r="N5" s="110" t="inlineStr">
        <is>
          <t>M</t>
        </is>
      </c>
      <c r="O5" s="110" t="inlineStr">
        <is>
          <t>M</t>
        </is>
      </c>
      <c r="P5" s="110" t="inlineStr">
        <is>
          <t>J</t>
        </is>
      </c>
      <c r="Q5" s="69" t="n"/>
    </row>
    <row r="6" ht="24.75" customHeight="1" s="67">
      <c r="A6" s="76" t="inlineStr">
        <is>
          <t>Code</t>
        </is>
      </c>
      <c r="B6" s="114" t="n"/>
      <c r="C6" s="114" t="n"/>
      <c r="D6" s="114" t="n"/>
      <c r="E6" s="114" t="n"/>
      <c r="F6" s="114" t="n"/>
      <c r="G6" s="114" t="n"/>
      <c r="H6" s="114" t="n"/>
      <c r="I6" s="114" t="n"/>
      <c r="J6" s="114" t="n"/>
      <c r="K6" s="114" t="n"/>
      <c r="L6" s="114" t="n"/>
      <c r="M6" s="115" t="n"/>
      <c r="N6" s="114" t="n"/>
      <c r="O6" s="114" t="n"/>
      <c r="P6" s="114" t="n"/>
      <c r="Q6" s="69" t="n"/>
    </row>
    <row r="7" ht="15" customHeight="1" s="67">
      <c r="A7" s="76" t="inlineStr">
        <is>
          <t>Période</t>
        </is>
      </c>
      <c r="B7" s="116" t="n"/>
      <c r="C7" s="116" t="n"/>
      <c r="D7" s="116" t="n"/>
      <c r="E7" s="116" t="n"/>
      <c r="F7" s="116" t="n"/>
      <c r="G7" s="116" t="n"/>
      <c r="H7" s="116" t="n"/>
      <c r="I7" s="116" t="n"/>
      <c r="J7" s="116" t="n"/>
      <c r="K7" s="116" t="n"/>
      <c r="L7" s="116" t="n"/>
      <c r="M7" s="117" t="inlineStr">
        <is>
          <t>P1</t>
        </is>
      </c>
      <c r="N7" s="118" t="inlineStr">
        <is>
          <t>P1</t>
        </is>
      </c>
      <c r="O7" s="118" t="inlineStr">
        <is>
          <t>P1</t>
        </is>
      </c>
      <c r="P7" s="118" t="inlineStr">
        <is>
          <t>P1</t>
        </is>
      </c>
      <c r="Q7" s="69" t="n"/>
    </row>
    <row r="8" ht="15" customHeight="1" s="67">
      <c r="A8" s="69" t="n"/>
      <c r="B8" s="69" t="n"/>
      <c r="C8" s="69" t="n"/>
      <c r="D8" s="69" t="n"/>
      <c r="E8" s="69" t="n"/>
      <c r="F8" s="69" t="n"/>
      <c r="G8" s="69" t="n"/>
      <c r="H8" s="69" t="n"/>
      <c r="I8" s="69" t="n"/>
      <c r="J8" s="69" t="n"/>
      <c r="K8" s="69" t="n"/>
      <c r="L8" s="69" t="n"/>
      <c r="M8" s="69" t="n"/>
      <c r="N8" s="69" t="n"/>
      <c r="O8" s="69" t="n"/>
      <c r="P8" s="69" t="n"/>
      <c r="Q8" s="69" t="n"/>
    </row>
    <row r="9" ht="15" customHeight="1" s="67">
      <c r="A9" s="108" t="inlineStr">
        <is>
          <t>Jours 16-31</t>
        </is>
      </c>
      <c r="B9" s="69" t="n"/>
      <c r="C9" s="69" t="n"/>
      <c r="D9" s="69" t="n"/>
      <c r="E9" s="69" t="n"/>
      <c r="F9" s="69" t="n"/>
      <c r="G9" s="69" t="n"/>
      <c r="H9" s="69" t="n"/>
      <c r="I9" s="69" t="n"/>
      <c r="J9" s="69" t="n"/>
      <c r="K9" s="69" t="n"/>
      <c r="L9" s="69" t="n"/>
      <c r="M9" s="69" t="n"/>
      <c r="N9" s="69" t="n"/>
      <c r="O9" s="69" t="n"/>
      <c r="P9" s="69" t="n"/>
      <c r="Q9" s="69" t="n"/>
    </row>
    <row r="10" ht="18" customHeight="1" s="67">
      <c r="A10" s="76" t="inlineStr">
        <is>
          <t>Jour</t>
        </is>
      </c>
      <c r="B10" s="110" t="n">
        <v>16</v>
      </c>
      <c r="C10" s="111" t="n">
        <v>17</v>
      </c>
      <c r="D10" s="111" t="n">
        <v>18</v>
      </c>
      <c r="E10" s="110" t="n">
        <v>19</v>
      </c>
      <c r="F10" s="110" t="n">
        <v>20</v>
      </c>
      <c r="G10" s="110" t="n">
        <v>21</v>
      </c>
      <c r="H10" s="110" t="n">
        <v>22</v>
      </c>
      <c r="I10" s="110" t="n">
        <v>23</v>
      </c>
      <c r="J10" s="111" t="n">
        <v>24</v>
      </c>
      <c r="K10" s="111" t="n">
        <v>25</v>
      </c>
      <c r="L10" s="110" t="n">
        <v>26</v>
      </c>
      <c r="M10" s="110" t="n">
        <v>27</v>
      </c>
      <c r="N10" s="110" t="n">
        <v>28</v>
      </c>
      <c r="O10" s="119" t="n">
        <v>29</v>
      </c>
      <c r="P10" s="119" t="n">
        <v>30</v>
      </c>
      <c r="Q10" s="120" t="n">
        <v>31</v>
      </c>
    </row>
    <row r="11" ht="18" customHeight="1" s="67">
      <c r="A11" s="76" t="inlineStr">
        <is>
          <t>J.sem</t>
        </is>
      </c>
      <c r="B11" s="110" t="inlineStr">
        <is>
          <t>V</t>
        </is>
      </c>
      <c r="C11" s="111" t="inlineStr">
        <is>
          <t>S</t>
        </is>
      </c>
      <c r="D11" s="111" t="inlineStr">
        <is>
          <t>D</t>
        </is>
      </c>
      <c r="E11" s="110" t="inlineStr">
        <is>
          <t>L</t>
        </is>
      </c>
      <c r="F11" s="110" t="inlineStr">
        <is>
          <t>M</t>
        </is>
      </c>
      <c r="G11" s="110" t="inlineStr">
        <is>
          <t>M</t>
        </is>
      </c>
      <c r="H11" s="110" t="inlineStr">
        <is>
          <t>J</t>
        </is>
      </c>
      <c r="I11" s="110" t="inlineStr">
        <is>
          <t>V</t>
        </is>
      </c>
      <c r="J11" s="111" t="inlineStr">
        <is>
          <t>S</t>
        </is>
      </c>
      <c r="K11" s="111" t="inlineStr">
        <is>
          <t>D</t>
        </is>
      </c>
      <c r="L11" s="110" t="inlineStr">
        <is>
          <t>L</t>
        </is>
      </c>
      <c r="M11" s="110" t="inlineStr">
        <is>
          <t>M</t>
        </is>
      </c>
      <c r="N11" s="110" t="inlineStr">
        <is>
          <t>M</t>
        </is>
      </c>
      <c r="O11" s="119" t="inlineStr">
        <is>
          <t>J</t>
        </is>
      </c>
      <c r="P11" s="119" t="inlineStr">
        <is>
          <t>V</t>
        </is>
      </c>
      <c r="Q11" s="120" t="inlineStr">
        <is>
          <t>S</t>
        </is>
      </c>
    </row>
    <row r="12" ht="24.75" customHeight="1" s="67">
      <c r="A12" s="76" t="inlineStr">
        <is>
          <t>Code</t>
        </is>
      </c>
      <c r="B12" s="114" t="n"/>
      <c r="C12" s="114" t="n"/>
      <c r="D12" s="114" t="n"/>
      <c r="E12" s="114" t="n"/>
      <c r="F12" s="114" t="n"/>
      <c r="G12" s="114" t="n"/>
      <c r="H12" s="114" t="n"/>
      <c r="I12" s="114" t="n"/>
      <c r="J12" s="114" t="n"/>
      <c r="K12" s="114" t="n"/>
      <c r="L12" s="114" t="n"/>
      <c r="M12" s="114" t="n"/>
      <c r="N12" s="114" t="n"/>
      <c r="O12" s="114" t="n"/>
      <c r="P12" s="114" t="n"/>
      <c r="Q12" s="114" t="n"/>
    </row>
    <row r="13" ht="15" customHeight="1" s="67">
      <c r="A13" s="76" t="inlineStr">
        <is>
          <t>Période</t>
        </is>
      </c>
      <c r="B13" s="118" t="inlineStr">
        <is>
          <t>P1</t>
        </is>
      </c>
      <c r="C13" s="118" t="inlineStr">
        <is>
          <t>P1</t>
        </is>
      </c>
      <c r="D13" s="118" t="inlineStr">
        <is>
          <t>P1</t>
        </is>
      </c>
      <c r="E13" s="118" t="inlineStr">
        <is>
          <t>P1</t>
        </is>
      </c>
      <c r="F13" s="118" t="inlineStr">
        <is>
          <t>P1</t>
        </is>
      </c>
      <c r="G13" s="118" t="inlineStr">
        <is>
          <t>P1</t>
        </is>
      </c>
      <c r="H13" s="118" t="inlineStr">
        <is>
          <t>P1</t>
        </is>
      </c>
      <c r="I13" s="118" t="inlineStr">
        <is>
          <t>P1</t>
        </is>
      </c>
      <c r="J13" s="118" t="inlineStr">
        <is>
          <t>P1</t>
        </is>
      </c>
      <c r="K13" s="118" t="inlineStr">
        <is>
          <t>P1</t>
        </is>
      </c>
      <c r="L13" s="118" t="inlineStr">
        <is>
          <t>P1</t>
        </is>
      </c>
      <c r="M13" s="118" t="inlineStr">
        <is>
          <t>P1</t>
        </is>
      </c>
      <c r="N13" s="118" t="inlineStr">
        <is>
          <t>P1</t>
        </is>
      </c>
      <c r="O13" s="118" t="inlineStr">
        <is>
          <t>P1</t>
        </is>
      </c>
      <c r="P13" s="118" t="inlineStr">
        <is>
          <t>P1</t>
        </is>
      </c>
      <c r="Q13" s="118" t="inlineStr">
        <is>
          <t>P1</t>
        </is>
      </c>
    </row>
    <row r="16" ht="15" customHeight="1" s="67">
      <c r="A16" s="104" t="inlineStr">
        <is>
          <t>Prestations</t>
        </is>
      </c>
      <c r="B16" s="104" t="inlineStr">
        <is>
          <t>Jours</t>
        </is>
      </c>
      <c r="C16" s="104" t="inlineStr">
        <is>
          <t>H. Totales</t>
        </is>
      </c>
      <c r="D16" s="104" t="inlineStr">
        <is>
          <t>H. Nuit</t>
        </is>
      </c>
      <c r="E16" s="104" t="inlineStr">
        <is>
          <t>Couleur</t>
        </is>
      </c>
      <c r="F16" s="106" t="n"/>
      <c r="G16" s="106" t="n"/>
      <c r="H16" s="106" t="n"/>
      <c r="I16" s="106" t="n"/>
      <c r="J16" s="106" t="n"/>
    </row>
    <row r="17">
      <c r="A17" s="105" t="inlineStr">
        <is>
          <t>101</t>
        </is>
      </c>
      <c r="B17" s="105">
        <f>COUNTIF(B6:P6,"101")+COUNTIF(B12:R12,"101")</f>
        <v/>
      </c>
      <c r="C17" s="105">
        <f>B17*8</f>
        <v/>
      </c>
      <c r="D17" s="105">
        <f>B17*2</f>
        <v/>
      </c>
      <c r="E17" s="121" t="n"/>
      <c r="F17" s="106" t="n"/>
      <c r="G17" s="106" t="n"/>
      <c r="H17" s="106" t="n"/>
      <c r="I17" s="106" t="n"/>
      <c r="J17" s="106" t="n"/>
    </row>
    <row r="18" ht="15" customHeight="1" s="67">
      <c r="A18" s="105" t="inlineStr">
        <is>
          <t>102</t>
        </is>
      </c>
      <c r="B18" s="105">
        <f>COUNTIF(B6:P6,"102")+COUNTIF(B12:R12,"102")</f>
        <v/>
      </c>
      <c r="C18" s="105">
        <f>B18*8</f>
        <v/>
      </c>
      <c r="D18" s="105">
        <f>B18*2</f>
        <v/>
      </c>
      <c r="E18" s="122" t="n"/>
      <c r="F18" s="106" t="n"/>
      <c r="G18" s="106" t="n"/>
      <c r="H18" s="106" t="n"/>
      <c r="I18" s="106" t="n"/>
      <c r="J18" s="106" t="n"/>
    </row>
    <row r="19" ht="15" customHeight="1" s="67">
      <c r="A19" s="105" t="inlineStr">
        <is>
          <t>111</t>
        </is>
      </c>
      <c r="B19" s="105">
        <f>COUNTIF(B6:P6,"111")+COUNTIF(B12:R12,"111")</f>
        <v/>
      </c>
      <c r="C19" s="105">
        <f>B19*8</f>
        <v/>
      </c>
      <c r="D19" s="105">
        <f>B19*2</f>
        <v/>
      </c>
      <c r="E19" s="123" t="n"/>
      <c r="F19" s="106" t="n"/>
      <c r="G19" s="106" t="n"/>
      <c r="H19" s="106" t="n"/>
      <c r="I19" s="106" t="n"/>
      <c r="J19" s="106" t="n"/>
    </row>
    <row r="20" ht="15" customHeight="1" s="67">
      <c r="A20" s="105" t="inlineStr">
        <is>
          <t>112</t>
        </is>
      </c>
      <c r="B20" s="105">
        <f>COUNTIF(B6:P6,"112")+COUNTIF(B12:R12,"112")</f>
        <v/>
      </c>
      <c r="C20" s="105">
        <f>B20*8</f>
        <v/>
      </c>
      <c r="D20" s="105">
        <f>B20*2</f>
        <v/>
      </c>
      <c r="E20" s="124" t="n"/>
      <c r="F20" s="106" t="n"/>
      <c r="G20" s="106" t="n"/>
      <c r="H20" s="106" t="n"/>
      <c r="I20" s="106" t="n"/>
      <c r="J20" s="106" t="n"/>
    </row>
    <row r="21" ht="15" customHeight="1" s="67">
      <c r="A21" s="105" t="inlineStr">
        <is>
          <t>121</t>
        </is>
      </c>
      <c r="B21" s="105">
        <f>COUNTIF(B6:P6,"121")+COUNTIF(B12:R12,"121")</f>
        <v/>
      </c>
      <c r="C21" s="105">
        <f>B21*8</f>
        <v/>
      </c>
      <c r="D21" s="105">
        <f>B21*8</f>
        <v/>
      </c>
      <c r="E21" s="125" t="n"/>
      <c r="F21" s="106" t="n"/>
      <c r="G21" s="106" t="n"/>
      <c r="H21" s="106" t="n"/>
      <c r="I21" s="106" t="n"/>
      <c r="J21" s="106" t="n"/>
    </row>
    <row r="22" ht="15" customHeight="1" s="67">
      <c r="A22" s="105" t="inlineStr">
        <is>
          <t>6101</t>
        </is>
      </c>
      <c r="B22" s="105">
        <f>COUNTIF(B6:P6,"6101")+COUNTIF(B12:R12,"6101")</f>
        <v/>
      </c>
      <c r="C22" s="105">
        <f>B22*8</f>
        <v/>
      </c>
      <c r="D22" s="105">
        <f>B22*2</f>
        <v/>
      </c>
      <c r="E22" s="121" t="n"/>
      <c r="F22" s="106" t="n"/>
      <c r="G22" s="106" t="n"/>
      <c r="H22" s="106" t="n"/>
      <c r="I22" s="106" t="n"/>
      <c r="J22" s="106" t="n"/>
    </row>
    <row r="23" ht="15" customHeight="1" s="67">
      <c r="A23" s="105" t="inlineStr">
        <is>
          <t>6102</t>
        </is>
      </c>
      <c r="B23" s="105">
        <f>COUNTIF(B6:P6,"6102")+COUNTIF(B12:R12,"6102")</f>
        <v/>
      </c>
      <c r="C23" s="105">
        <f>B23*8</f>
        <v/>
      </c>
      <c r="D23" s="105">
        <f>B23*2</f>
        <v/>
      </c>
      <c r="E23" s="122" t="n"/>
      <c r="F23" s="106" t="n"/>
      <c r="G23" s="106" t="n"/>
      <c r="H23" s="106" t="n"/>
      <c r="I23" s="106" t="n"/>
      <c r="J23" s="106" t="n"/>
    </row>
    <row r="24" ht="15" customHeight="1" s="67">
      <c r="A24" s="105" t="inlineStr">
        <is>
          <t>6111</t>
        </is>
      </c>
      <c r="B24" s="105">
        <f>COUNTIF(B6:P6,"6111")+COUNTIF(B12:R12,"6111")</f>
        <v/>
      </c>
      <c r="C24" s="105">
        <f>B24*8</f>
        <v/>
      </c>
      <c r="D24" s="105">
        <f>B24*2</f>
        <v/>
      </c>
      <c r="E24" s="123" t="n"/>
      <c r="F24" s="106" t="n"/>
      <c r="G24" s="106" t="n"/>
      <c r="H24" s="106" t="n"/>
      <c r="I24" s="106" t="n"/>
      <c r="J24" s="106" t="n"/>
    </row>
    <row r="25" ht="15" customHeight="1" s="67">
      <c r="A25" s="105" t="inlineStr">
        <is>
          <t>6112</t>
        </is>
      </c>
      <c r="B25" s="105">
        <f>COUNTIF(B6:P6,"6112")+COUNTIF(B12:R12,"6112")</f>
        <v/>
      </c>
      <c r="C25" s="105">
        <f>B25*8</f>
        <v/>
      </c>
      <c r="D25" s="105">
        <f>B25*2</f>
        <v/>
      </c>
      <c r="E25" s="124" t="n"/>
      <c r="F25" s="106" t="n"/>
      <c r="G25" s="106" t="n"/>
      <c r="H25" s="106" t="n"/>
      <c r="I25" s="106" t="n"/>
      <c r="J25" s="106" t="n"/>
    </row>
    <row r="26" ht="15" customHeight="1" s="67">
      <c r="A26" s="105" t="inlineStr">
        <is>
          <t>6121</t>
        </is>
      </c>
      <c r="B26" s="105">
        <f>COUNTIF(B6:P6,"6121")+COUNTIF(B12:R12,"6121")</f>
        <v/>
      </c>
      <c r="C26" s="105">
        <f>B26*8</f>
        <v/>
      </c>
      <c r="D26" s="105">
        <f>B26*8</f>
        <v/>
      </c>
      <c r="E26" s="125" t="n"/>
      <c r="F26" s="106" t="n"/>
      <c r="G26" s="106" t="n"/>
      <c r="H26" s="106" t="n"/>
      <c r="I26" s="106" t="n"/>
      <c r="J26" s="106" t="n"/>
    </row>
    <row r="27" ht="15" customHeight="1" s="67">
      <c r="A27" s="105" t="inlineStr">
        <is>
          <t>7101</t>
        </is>
      </c>
      <c r="B27" s="105">
        <f>COUNTIF(B6:P6,"7101")+COUNTIF(B12:R12,"7101")</f>
        <v/>
      </c>
      <c r="C27" s="105">
        <f>B27*8</f>
        <v/>
      </c>
      <c r="D27" s="105">
        <f>B27*2</f>
        <v/>
      </c>
      <c r="E27" s="121" t="n"/>
      <c r="F27" s="106" t="n"/>
      <c r="G27" s="106" t="n"/>
      <c r="H27" s="106" t="n"/>
      <c r="I27" s="106" t="n"/>
      <c r="J27" s="106" t="n"/>
    </row>
    <row r="28" ht="15" customHeight="1" s="67">
      <c r="A28" s="105" t="inlineStr">
        <is>
          <t>7102</t>
        </is>
      </c>
      <c r="B28" s="105">
        <f>COUNTIF(B6:P6,"7102")+COUNTIF(B12:R12,"7102")</f>
        <v/>
      </c>
      <c r="C28" s="105">
        <f>B28*8</f>
        <v/>
      </c>
      <c r="D28" s="105">
        <f>B28*2</f>
        <v/>
      </c>
      <c r="E28" s="122" t="n"/>
      <c r="F28" s="106" t="n"/>
      <c r="G28" s="106" t="n"/>
      <c r="H28" s="106" t="n"/>
      <c r="I28" s="106" t="n"/>
      <c r="J28" s="106" t="n"/>
    </row>
    <row r="29" ht="15" customHeight="1" s="67">
      <c r="A29" s="105" t="inlineStr">
        <is>
          <t>7111</t>
        </is>
      </c>
      <c r="B29" s="105">
        <f>COUNTIF(B6:P6,"7111")+COUNTIF(B12:R12,"7111")</f>
        <v/>
      </c>
      <c r="C29" s="105">
        <f>B29*8</f>
        <v/>
      </c>
      <c r="D29" s="105">
        <f>B29*2</f>
        <v/>
      </c>
      <c r="E29" s="123" t="n"/>
      <c r="F29" s="106" t="n"/>
      <c r="G29" s="106" t="n"/>
      <c r="H29" s="106" t="n"/>
      <c r="I29" s="106" t="n"/>
      <c r="J29" s="106" t="n"/>
    </row>
    <row r="30" ht="15" customHeight="1" s="67">
      <c r="A30" s="105" t="inlineStr">
        <is>
          <t>7112</t>
        </is>
      </c>
      <c r="B30" s="105">
        <f>COUNTIF(B6:P6,"7112")+COUNTIF(B12:R12,"7112")</f>
        <v/>
      </c>
      <c r="C30" s="105">
        <f>B30*8</f>
        <v/>
      </c>
      <c r="D30" s="105">
        <f>B30*2</f>
        <v/>
      </c>
      <c r="E30" s="124" t="n"/>
      <c r="F30" s="106" t="n"/>
      <c r="G30" s="106" t="n"/>
      <c r="H30" s="106" t="n"/>
      <c r="I30" s="106" t="n"/>
      <c r="J30" s="106" t="n"/>
    </row>
    <row r="31" ht="15" customHeight="1" s="67">
      <c r="A31" s="105" t="inlineStr">
        <is>
          <t>7121</t>
        </is>
      </c>
      <c r="B31" s="105">
        <f>COUNTIF(B6:P6,"7121")+COUNTIF(B12:R12,"7121")</f>
        <v/>
      </c>
      <c r="C31" s="105">
        <f>B31*8</f>
        <v/>
      </c>
      <c r="D31" s="105">
        <f>B31*8</f>
        <v/>
      </c>
      <c r="E31" s="125" t="n"/>
      <c r="F31" s="106" t="n"/>
      <c r="G31" s="106" t="n"/>
      <c r="H31" s="106" t="n"/>
      <c r="I31" s="106" t="n"/>
      <c r="J31" s="106" t="n"/>
    </row>
    <row r="32" ht="15" customHeight="1" s="67">
      <c r="A32" s="105" t="inlineStr">
        <is>
          <t>X_AM</t>
        </is>
      </c>
      <c r="B32" s="105">
        <f>COUNTIF(B6:P6,"X_AM")+COUNTIF(B12:R12,"X_AM")</f>
        <v/>
      </c>
      <c r="C32" s="105">
        <f>B32*8</f>
        <v/>
      </c>
      <c r="D32" s="105">
        <f>B32*2</f>
        <v/>
      </c>
      <c r="E32" s="126" t="n"/>
      <c r="F32" s="106" t="n"/>
      <c r="G32" s="106" t="n"/>
      <c r="H32" s="106" t="n"/>
      <c r="I32" s="106" t="n"/>
      <c r="J32" s="106" t="n"/>
    </row>
    <row r="33" ht="15" customHeight="1" s="67">
      <c r="A33" s="105" t="inlineStr">
        <is>
          <t>X_PM</t>
        </is>
      </c>
      <c r="B33" s="105">
        <f>COUNTIF(B6:P6,"X_PM")+COUNTIF(B12:R12,"X_PM")</f>
        <v/>
      </c>
      <c r="C33" s="105">
        <f>B33*8</f>
        <v/>
      </c>
      <c r="D33" s="105">
        <f>B33*2</f>
        <v/>
      </c>
      <c r="E33" s="126" t="n"/>
      <c r="F33" s="106" t="n"/>
      <c r="G33" s="106" t="n"/>
      <c r="H33" s="106" t="n"/>
      <c r="I33" s="106" t="n"/>
      <c r="J33" s="106" t="n"/>
    </row>
    <row r="34" ht="15" customHeight="1" s="67">
      <c r="A34" s="105" t="inlineStr">
        <is>
          <t>X_10</t>
        </is>
      </c>
      <c r="B34" s="105">
        <f>COUNTIF(B6:P6,"X_10")+COUNTIF(B12:R12,"X_10")</f>
        <v/>
      </c>
      <c r="C34" s="105">
        <f>B34*8</f>
        <v/>
      </c>
      <c r="D34" s="105" t="n">
        <v>0</v>
      </c>
      <c r="E34" s="127" t="n"/>
      <c r="F34" s="106" t="n"/>
      <c r="G34" s="106" t="n"/>
      <c r="H34" s="106" t="n"/>
      <c r="I34" s="106" t="n"/>
      <c r="J34" s="106" t="n"/>
    </row>
    <row r="35" ht="15" customHeight="1" s="67">
      <c r="A35" s="105" t="inlineStr">
        <is>
          <t>AG</t>
        </is>
      </c>
      <c r="B35" s="105">
        <f>COUNTIF(B6:P6,"AG")+COUNTIF(B12:R12,"AG")</f>
        <v/>
      </c>
      <c r="C35" s="105">
        <f>B35*8</f>
        <v/>
      </c>
      <c r="D35" s="105" t="n">
        <v>0</v>
      </c>
      <c r="E35" s="128" t="n"/>
      <c r="F35" s="106" t="n"/>
      <c r="G35" s="106" t="n"/>
      <c r="H35" s="106" t="n"/>
      <c r="I35" s="106" t="n"/>
      <c r="J35" s="106" t="n"/>
    </row>
    <row r="36" ht="15" customHeight="1" s="67">
      <c r="A36" s="129" t="inlineStr">
        <is>
          <t>TOTAL</t>
        </is>
      </c>
      <c r="B36" s="129">
        <f>SUM(B17:B35)</f>
        <v/>
      </c>
      <c r="C36" s="129">
        <f>SUM(C17:C35)</f>
        <v/>
      </c>
      <c r="D36" s="129">
        <f>SUM(D17:D35)</f>
        <v/>
      </c>
      <c r="E36" s="129" t="n"/>
      <c r="F36" s="106" t="n"/>
      <c r="G36" s="106" t="n"/>
      <c r="H36" s="106" t="n"/>
      <c r="I36" s="106" t="n"/>
      <c r="J36" s="106" t="n"/>
    </row>
    <row r="37" ht="15" customHeight="1" s="67">
      <c r="A37" s="130" t="n"/>
      <c r="B37" s="130" t="n"/>
      <c r="C37" s="130" t="n"/>
      <c r="D37" s="130" t="n"/>
      <c r="E37" s="130" t="n"/>
      <c r="F37" s="106" t="n"/>
      <c r="G37" s="106" t="n"/>
      <c r="H37" s="106" t="n"/>
      <c r="I37" s="106" t="n"/>
      <c r="J37" s="106" t="n"/>
    </row>
    <row r="38" ht="15" customHeight="1" s="67">
      <c r="A38" s="104" t="inlineStr">
        <is>
          <t>REPOS</t>
        </is>
      </c>
      <c r="B38" s="104" t="inlineStr">
        <is>
          <t>Jours</t>
        </is>
      </c>
      <c r="C38" s="104" t="inlineStr">
        <is>
          <t>H. Totales</t>
        </is>
      </c>
      <c r="D38" s="104" t="inlineStr">
        <is>
          <t>H. Nuit</t>
        </is>
      </c>
      <c r="E38" s="104" t="inlineStr">
        <is>
          <t>Couleur</t>
        </is>
      </c>
      <c r="F38" s="106" t="n"/>
      <c r="G38" s="106" t="n"/>
      <c r="H38" s="106" t="n"/>
      <c r="I38" s="106" t="n"/>
      <c r="J38" s="106" t="n"/>
    </row>
    <row r="39" ht="15" customHeight="1" s="67">
      <c r="A39" s="105" t="inlineStr">
        <is>
          <t>CN</t>
        </is>
      </c>
      <c r="B39" s="105">
        <f>COUNTIF(B6:P6,"CN")+COUNTIF(B12:R12,"CN")</f>
        <v/>
      </c>
      <c r="C39" s="105">
        <f>B39*8</f>
        <v/>
      </c>
      <c r="D39" s="105" t="n">
        <v>0</v>
      </c>
      <c r="E39" s="131" t="n"/>
      <c r="F39" s="106" t="n"/>
      <c r="G39" s="106" t="n"/>
      <c r="H39" s="106" t="n"/>
      <c r="I39" s="106" t="n"/>
      <c r="J39" s="106" t="n"/>
    </row>
    <row r="40" ht="15" customHeight="1" s="67">
      <c r="A40" s="105" t="inlineStr">
        <is>
          <t>JC</t>
        </is>
      </c>
      <c r="B40" s="105">
        <f>COUNTIF(B6:P6,"JC")+COUNTIF(B12:R12,"JC")</f>
        <v/>
      </c>
      <c r="C40" s="105">
        <f>B40*8</f>
        <v/>
      </c>
      <c r="D40" s="105" t="n">
        <v>0</v>
      </c>
      <c r="E40" s="131" t="n"/>
      <c r="F40" s="106" t="n"/>
      <c r="G40" s="106" t="n"/>
      <c r="H40" s="106" t="n"/>
      <c r="I40" s="106" t="n"/>
      <c r="J40" s="106" t="n"/>
    </row>
    <row r="41" ht="15" customHeight="1" s="67">
      <c r="A41" s="105" t="inlineStr">
        <is>
          <t>RH</t>
        </is>
      </c>
      <c r="B41" s="105">
        <f>COUNTIF(B6:P6,"RH")+COUNTIF(B12:R12,"RH")</f>
        <v/>
      </c>
      <c r="C41" s="105" t="n">
        <v>0</v>
      </c>
      <c r="D41" s="105" t="n">
        <v>0</v>
      </c>
      <c r="E41" s="132" t="n"/>
      <c r="F41" s="106" t="n"/>
      <c r="G41" s="106" t="n"/>
      <c r="H41" s="106" t="n"/>
      <c r="I41" s="106" t="n"/>
      <c r="J41" s="106" t="n"/>
    </row>
    <row r="42" ht="15" customHeight="1" s="67">
      <c r="A42" s="105" t="inlineStr">
        <is>
          <t>CH</t>
        </is>
      </c>
      <c r="B42" s="105">
        <f>COUNTIF(B6:P6,"CH")+COUNTIF(B12:R12,"CH")</f>
        <v/>
      </c>
      <c r="C42" s="105" t="n">
        <v>0</v>
      </c>
      <c r="D42" s="105" t="n">
        <v>0</v>
      </c>
      <c r="E42" s="133" t="n"/>
      <c r="F42" s="106" t="n"/>
      <c r="G42" s="106" t="n"/>
      <c r="H42" s="106" t="n"/>
      <c r="I42" s="106" t="n"/>
      <c r="J42" s="106" t="n"/>
    </row>
    <row r="43" ht="15" customHeight="1" s="67">
      <c r="A43" s="105" t="inlineStr">
        <is>
          <t>RR</t>
        </is>
      </c>
      <c r="B43" s="105">
        <f>COUNTIF(B6:P6,"RR")+COUNTIF(B12:R12,"RR")</f>
        <v/>
      </c>
      <c r="C43" s="105">
        <f>B43*8</f>
        <v/>
      </c>
      <c r="D43" s="105" t="n">
        <v>0</v>
      </c>
      <c r="E43" s="134" t="n"/>
      <c r="F43" s="106" t="n"/>
      <c r="G43" s="106" t="n"/>
      <c r="H43" s="106" t="n"/>
      <c r="I43" s="106" t="n"/>
      <c r="J43" s="106" t="n"/>
    </row>
    <row r="44">
      <c r="A44" s="105" t="inlineStr">
        <is>
          <t>CV</t>
        </is>
      </c>
      <c r="B44" s="105">
        <f>COUNTIF(B6:P6,"CV")+COUNTIF(B12:R12,"CV")</f>
        <v/>
      </c>
      <c r="C44" s="105">
        <f>B44*8</f>
        <v/>
      </c>
      <c r="D44" s="105" t="n">
        <v>0</v>
      </c>
      <c r="E44" s="135" t="n"/>
      <c r="F44" s="106" t="n"/>
      <c r="G44" s="106" t="n"/>
      <c r="H44" s="106" t="n"/>
      <c r="I44" s="106" t="n"/>
      <c r="J44" s="106" t="n"/>
    </row>
    <row r="45" ht="15" customHeight="1" s="67">
      <c r="A45" s="105" t="inlineStr">
        <is>
          <t>ZM</t>
        </is>
      </c>
      <c r="B45" s="105">
        <f>COUNTIF(B6:P6,"ZM")+COUNTIF(B12:R12,"ZM")</f>
        <v/>
      </c>
      <c r="C45" s="105">
        <f>B45*8</f>
        <v/>
      </c>
      <c r="D45" s="105" t="n">
        <v>0</v>
      </c>
      <c r="E45" s="136" t="n"/>
      <c r="F45" s="106" t="n"/>
      <c r="G45" s="106" t="n"/>
      <c r="H45" s="106" t="n"/>
      <c r="I45" s="106" t="n"/>
      <c r="J45" s="106" t="n"/>
    </row>
    <row r="46">
      <c r="A46" s="129" t="inlineStr">
        <is>
          <t>TOTAL</t>
        </is>
      </c>
      <c r="B46" s="129">
        <f>SUM(B39:B45)</f>
        <v/>
      </c>
      <c r="C46" s="129">
        <f>SUM(C39:C45)</f>
        <v/>
      </c>
      <c r="D46" s="129">
        <f>SUM(D39:D45)</f>
        <v/>
      </c>
      <c r="E46" s="129" t="n"/>
      <c r="F46" s="106" t="n"/>
      <c r="G46" s="106" t="n"/>
      <c r="H46" s="106" t="n"/>
      <c r="I46" s="106" t="n"/>
      <c r="J46" s="106" t="n"/>
    </row>
    <row r="47" ht="15" customHeight="1" s="67">
      <c r="A47" s="130" t="n"/>
      <c r="B47" s="130" t="n"/>
      <c r="C47" s="130" t="n"/>
      <c r="D47" s="130" t="n"/>
      <c r="E47" s="106" t="n"/>
      <c r="F47" s="106" t="n"/>
      <c r="G47" s="106" t="n"/>
      <c r="H47" s="106" t="n"/>
      <c r="I47" s="106" t="n"/>
      <c r="J47" s="106" t="n"/>
    </row>
    <row r="48" ht="15" customHeight="1" s="67">
      <c r="A48" s="137" t="inlineStr">
        <is>
          <t>Total Heures</t>
        </is>
      </c>
      <c r="B48" s="130" t="n"/>
      <c r="C48" s="137">
        <f>C36+C46</f>
        <v/>
      </c>
      <c r="D48" s="130" t="n"/>
      <c r="E48" s="106" t="n"/>
      <c r="F48" s="106" t="n"/>
      <c r="G48" s="106" t="n"/>
      <c r="H48" s="106" t="n"/>
      <c r="I48" s="106" t="n"/>
      <c r="J48" s="106" t="n"/>
    </row>
    <row r="49" ht="15" customHeight="1" s="67">
      <c r="A49" s="130" t="n"/>
      <c r="B49" s="130" t="n"/>
      <c r="C49" s="130" t="n"/>
      <c r="D49" s="130" t="n"/>
      <c r="E49" s="106" t="n"/>
      <c r="F49" s="106" t="n"/>
      <c r="G49" s="106" t="n"/>
      <c r="H49" s="106" t="n"/>
      <c r="I49" s="106" t="n"/>
      <c r="J49" s="106" t="n"/>
    </row>
    <row r="50" ht="15" customHeight="1" s="67">
      <c r="A50" s="130" t="n"/>
      <c r="B50" s="130" t="n"/>
      <c r="C50" s="130" t="n"/>
      <c r="D50" s="130" t="n"/>
      <c r="E50" s="106" t="n"/>
      <c r="F50" s="106" t="n"/>
      <c r="G50" s="106" t="n"/>
      <c r="H50" s="106" t="n"/>
      <c r="I50" s="106" t="n"/>
      <c r="J50" s="106" t="n"/>
    </row>
    <row r="51" ht="15" customHeight="1" s="67">
      <c r="A51" s="130" t="n"/>
      <c r="B51" s="130" t="n"/>
      <c r="C51" s="130" t="n"/>
      <c r="D51" s="130" t="n"/>
      <c r="E51" s="106" t="n"/>
      <c r="F51" s="106" t="n"/>
      <c r="G51" s="106" t="n"/>
      <c r="H51" s="106" t="n"/>
      <c r="I51" s="106" t="n"/>
      <c r="J51" s="106" t="n"/>
    </row>
    <row r="52">
      <c r="A52" s="138" t="inlineStr">
        <is>
          <t>CONTRÔLES PAR PÉRIODE - JANVIER</t>
        </is>
      </c>
      <c r="B52" s="106" t="n"/>
      <c r="C52" s="106" t="n"/>
      <c r="D52" s="106" t="n"/>
      <c r="E52" s="106" t="n"/>
      <c r="F52" s="106" t="n"/>
      <c r="G52" s="106" t="n"/>
      <c r="H52" s="106" t="n"/>
      <c r="I52" s="106" t="n"/>
      <c r="J52" s="106" t="n"/>
    </row>
    <row r="53" ht="15" customHeight="1" s="67">
      <c r="A53" s="130" t="n"/>
      <c r="B53" s="106" t="n"/>
      <c r="C53" s="106" t="n"/>
      <c r="D53" s="106" t="n"/>
      <c r="E53" s="106" t="n"/>
      <c r="F53" s="106" t="n"/>
      <c r="G53" s="106" t="n"/>
      <c r="H53" s="106" t="n"/>
      <c r="I53" s="106" t="n"/>
      <c r="J53" s="106" t="n"/>
    </row>
    <row r="54">
      <c r="A54" s="104" t="inlineStr">
        <is>
          <t>Période</t>
        </is>
      </c>
      <c r="B54" s="104" t="inlineStr">
        <is>
          <t>Heures</t>
        </is>
      </c>
      <c r="C54" s="104" t="inlineStr">
        <is>
          <t>CH</t>
        </is>
      </c>
      <c r="D54" s="104" t="inlineStr">
        <is>
          <t>RH</t>
        </is>
      </c>
      <c r="E54" s="104" t="inlineStr">
        <is>
          <t>CV</t>
        </is>
      </c>
      <c r="F54" s="104" t="inlineStr">
        <is>
          <t>RR</t>
        </is>
      </c>
      <c r="G54" s="104" t="inlineStr">
        <is>
          <t>Férié Trav.</t>
        </is>
      </c>
      <c r="H54" s="104" t="inlineStr">
        <is>
          <t>Statut</t>
        </is>
      </c>
      <c r="I54" s="106" t="n"/>
      <c r="J54" s="106" t="n"/>
    </row>
    <row r="55" ht="15" customHeight="1" s="67">
      <c r="A55" s="105" t="inlineStr">
        <is>
          <t>P1</t>
        </is>
      </c>
      <c r="B55" s="105">
        <f>(COUNTIF('Janvier'!M6:P6,"101") + COUNTIF('Janvier'!B12:Q12,"101") + COUNTIF('Février'!B6:I6,"101") + COUNTIF('Janvier'!M6:P6,"102") + COUNTIF('Janvier'!B12:Q12,"102") + COUNTIF('Février'!B6:I6,"102") + COUNTIF('Janvier'!M6:P6,"111") + COUNTIF('Janvier'!B12:Q12,"111") + COUNTIF('Février'!B6:I6,"111") + COUNTIF('Janvier'!M6:P6,"112") + COUNTIF('Janvier'!B12:Q12,"112") + COUNTIF('Février'!B6:I6,"112") + COUNTIF('Janvier'!M6:P6,"121") + COUNTIF('Janvier'!B12:Q12,"121") + COUNTIF('Février'!B6:I6,"121") + COUNTIF('Janvier'!M6:P6,"6101") + COUNTIF('Janvier'!B12:Q12,"6101") + COUNTIF('Février'!B6:I6,"6101") + COUNTIF('Janvier'!M6:P6,"6102") + COUNTIF('Janvier'!B12:Q12,"6102") + COUNTIF('Février'!B6:I6,"6102") + COUNTIF('Janvier'!M6:P6,"6111") + COUNTIF('Janvier'!B12:Q12,"6111") + COUNTIF('Février'!B6:I6,"6111") + COUNTIF('Janvier'!M6:P6,"6112") + COUNTIF('Janvier'!B12:Q12,"6112") + COUNTIF('Février'!B6:I6,"6112") + COUNTIF('Janvier'!M6:P6,"6121") + COUNTIF('Janvier'!B12:Q12,"6121") + COUNTIF('Février'!B6:I6,"6121") + COUNTIF('Janvier'!M6:P6,"7101") + COUNTIF('Janvier'!B12:Q12,"7101") + COUNTIF('Février'!B6:I6,"7101") + COUNTIF('Janvier'!M6:P6,"7102") + COUNTIF('Janvier'!B12:Q12,"7102") + COUNTIF('Février'!B6:I6,"7102") + COUNTIF('Janvier'!M6:P6,"7111") + COUNTIF('Janvier'!B12:Q12,"7111") + COUNTIF('Février'!B6:I6,"7111") + COUNTIF('Janvier'!M6:P6,"7112") + COUNTIF('Janvier'!B12:Q12,"7112") + COUNTIF('Février'!B6:I6,"7112") + COUNTIF('Janvier'!M6:P6,"7121") + COUNTIF('Janvier'!B12:Q12,"7121") + COUNTIF('Février'!B6:I6,"7121") + COUNTIF('Janvier'!M6:P6,"X_AM") + COUNTIF('Janvier'!B12:Q12,"X_AM") + COUNTIF('Février'!B6:I6,"X_AM") + COUNTIF('Janvier'!M6:P6,"X_PM") + COUNTIF('Janvier'!B12:Q12,"X_PM") + COUNTIF('Février'!B6:I6,"X_PM") + COUNTIF('Janvier'!M6:P6,"X_10") + COUNTIF('Janvier'!B12:Q12,"X_10") + COUNTIF('Février'!B6:I6,"X_10") + COUNTIF('Janvier'!M6:P6,"AG") + COUNTIF('Janvier'!B12:Q12,"AG") + COUNTIF('Février'!B6:I6,"AG") + COUNTIF('Janvier'!M6:P6,"CN") + COUNTIF('Janvier'!B12:Q12,"CN") + COUNTIF('Février'!B6:I6,"CN") + COUNTIF('Janvier'!M6:P6,"JC") + COUNTIF('Janvier'!B12:Q12,"JC") + COUNTIF('Février'!B6:I6,"JC") + COUNTIF('Janvier'!M6:P6,"RR") + COUNTIF('Janvier'!B12:Q12,"RR") + COUNTIF('Février'!B6:I6,"RR") + COUNTIF('Janvier'!M6:P6,"ZM") + COUNTIF('Janvier'!B12:Q12,"ZM") + COUNTIF('Février'!B6:I6,"ZM") + COUNTIF('Janvier'!M6:P6,"CV") + COUNTIF('Janvier'!B12:Q12,"CV") + COUNTIF('Février'!B6:I6,"CV"))*8</f>
        <v/>
      </c>
      <c r="C55" s="105">
        <f>COUNTIF('Janvier'!M6:P6,"CH")+COUNTIF('Janvier'!B12:Q12,"CH")+COUNTIF('Février'!B6:I6,"CH")</f>
        <v/>
      </c>
      <c r="D55" s="105">
        <f>COUNTIF('Janvier'!M6:P6,"RH")+COUNTIF('Janvier'!B12:Q12,"RH")+COUNTIF('Février'!B6:I6,"RH")</f>
        <v/>
      </c>
      <c r="E55" s="105">
        <f>COUNTIF('Janvier'!M6:P6,"CV")+COUNTIF('Janvier'!B12:Q12,"CV")+COUNTIF('Février'!B6:I6,"CV")</f>
        <v/>
      </c>
      <c r="F55" s="105">
        <f>COUNTIF('Janvier'!M6:P6,"RR")+COUNTIF('Janvier'!B12:Q12,"RR")+COUNTIF('Février'!B6:I6,"RR")</f>
        <v/>
      </c>
      <c r="G55" s="105" t="n">
        <v>0</v>
      </c>
      <c r="H55" s="105">
        <f>IF(B55&gt;160,"⚠ &gt;160h",IF(C55&lt;&gt;4,"⚠ CH≠4",IF(D55&lt;&gt;4,"⚠ RH≠4",IF(E55&lt;&gt;1,"⚠ CV≠1",IF(AND(G55&gt;0,F55=0),"⚠ RR manquant","✓ OK")))))</f>
        <v/>
      </c>
      <c r="I55" s="106" t="n"/>
      <c r="J55" s="106" t="n"/>
    </row>
    <row r="56" ht="15" customHeight="1" s="67">
      <c r="A56" s="130" t="n"/>
      <c r="B56" s="130" t="n"/>
      <c r="C56" s="130" t="n"/>
      <c r="D56" s="130" t="n"/>
      <c r="E56" s="106" t="n"/>
      <c r="F56" s="106" t="n"/>
      <c r="G56" s="106" t="n"/>
      <c r="H56" s="106" t="n"/>
      <c r="I56" s="106" t="n"/>
      <c r="J56" s="106" t="n"/>
    </row>
    <row r="57">
      <c r="A57" s="106" t="n"/>
      <c r="B57" s="106" t="n"/>
      <c r="C57" s="106" t="n"/>
      <c r="D57" s="106" t="n"/>
      <c r="E57" s="106" t="n"/>
      <c r="F57" s="106" t="n"/>
      <c r="G57" s="106" t="n"/>
      <c r="H57" s="106" t="n"/>
      <c r="I57" s="106" t="n"/>
      <c r="J57" s="106" t="n"/>
    </row>
    <row r="58">
      <c r="A58" s="106" t="n"/>
      <c r="B58" s="106" t="n"/>
      <c r="C58" s="106" t="n"/>
      <c r="D58" s="106" t="n"/>
      <c r="E58" s="106" t="n"/>
      <c r="F58" s="106" t="n"/>
      <c r="G58" s="106" t="n"/>
      <c r="H58" s="106" t="n"/>
      <c r="I58" s="106" t="n"/>
      <c r="J58" s="106" t="n"/>
    </row>
    <row r="59">
      <c r="A59" s="106" t="n"/>
      <c r="B59" s="106" t="n"/>
      <c r="C59" s="106" t="n"/>
      <c r="D59" s="106" t="n"/>
      <c r="E59" s="106" t="n"/>
      <c r="F59" s="106" t="n"/>
      <c r="G59" s="106" t="n"/>
      <c r="H59" s="106" t="n"/>
      <c r="I59" s="106" t="n"/>
      <c r="J59" s="106" t="n"/>
    </row>
    <row r="60">
      <c r="A60" s="106" t="n"/>
      <c r="B60" s="106" t="n"/>
      <c r="C60" s="106" t="n"/>
      <c r="D60" s="106" t="n"/>
      <c r="E60" s="106" t="n"/>
      <c r="F60" s="106" t="n"/>
      <c r="G60" s="106" t="n"/>
      <c r="H60" s="106" t="n"/>
      <c r="I60" s="106" t="n"/>
      <c r="J60" s="106" t="n"/>
    </row>
    <row r="61">
      <c r="A61" s="106" t="n"/>
      <c r="B61" s="106" t="n"/>
      <c r="C61" s="106" t="n"/>
      <c r="D61" s="106" t="n"/>
      <c r="E61" s="106" t="n"/>
      <c r="F61" s="106" t="n"/>
      <c r="G61" s="106" t="n"/>
      <c r="H61" s="106" t="n"/>
      <c r="I61" s="106" t="n"/>
      <c r="J61" s="106" t="n"/>
    </row>
    <row r="62">
      <c r="A62" s="106" t="n"/>
      <c r="B62" s="106" t="n"/>
      <c r="C62" s="106" t="n"/>
      <c r="D62" s="106" t="n"/>
      <c r="E62" s="106" t="n"/>
      <c r="F62" s="106" t="n"/>
      <c r="G62" s="106" t="n"/>
      <c r="H62" s="106" t="n"/>
      <c r="I62" s="106" t="n"/>
      <c r="J62" s="106" t="n"/>
    </row>
    <row r="63">
      <c r="A63" s="106" t="n"/>
      <c r="B63" s="106" t="n"/>
      <c r="C63" s="106" t="n"/>
      <c r="D63" s="106" t="n"/>
      <c r="E63" s="106" t="n"/>
      <c r="F63" s="106" t="n"/>
      <c r="G63" s="106" t="n"/>
      <c r="H63" s="106" t="n"/>
      <c r="I63" s="106" t="n"/>
      <c r="J63" s="106" t="n"/>
    </row>
    <row r="64">
      <c r="A64" s="106" t="n"/>
      <c r="B64" s="106" t="n"/>
      <c r="C64" s="106" t="n"/>
      <c r="D64" s="106" t="n"/>
      <c r="E64" s="106" t="n"/>
      <c r="F64" s="106" t="n"/>
      <c r="G64" s="106" t="n"/>
      <c r="H64" s="106" t="n"/>
      <c r="I64" s="106" t="n"/>
      <c r="J64" s="106" t="n"/>
    </row>
    <row r="65">
      <c r="A65" s="106" t="n"/>
      <c r="B65" s="106" t="n"/>
      <c r="C65" s="106" t="n"/>
      <c r="D65" s="106" t="n"/>
      <c r="E65" s="106" t="n"/>
      <c r="F65" s="106" t="n"/>
      <c r="G65" s="106" t="n"/>
      <c r="H65" s="106" t="n"/>
      <c r="I65" s="106" t="n"/>
      <c r="J65" s="106" t="n"/>
    </row>
    <row r="66">
      <c r="A66" s="106" t="n"/>
      <c r="B66" s="106" t="n"/>
      <c r="C66" s="106" t="n"/>
      <c r="D66" s="106" t="n"/>
      <c r="E66" s="106" t="n"/>
      <c r="F66" s="106" t="n"/>
      <c r="G66" s="106" t="n"/>
      <c r="H66" s="106" t="n"/>
      <c r="I66" s="106" t="n"/>
      <c r="J66" s="106" t="n"/>
    </row>
    <row r="67">
      <c r="A67" s="106" t="n"/>
      <c r="B67" s="106" t="n"/>
      <c r="C67" s="106" t="n"/>
      <c r="D67" s="106" t="n"/>
      <c r="E67" s="106" t="n"/>
      <c r="F67" s="106" t="n"/>
      <c r="G67" s="106" t="n"/>
      <c r="H67" s="106" t="n"/>
      <c r="I67" s="106" t="n"/>
      <c r="J67" s="106" t="n"/>
    </row>
    <row r="68">
      <c r="A68" s="106" t="n"/>
      <c r="B68" s="106" t="n"/>
      <c r="C68" s="106" t="n"/>
      <c r="D68" s="106" t="n"/>
      <c r="E68" s="106" t="n"/>
      <c r="F68" s="106" t="n"/>
      <c r="G68" s="106" t="n"/>
      <c r="H68" s="106" t="n"/>
      <c r="I68" s="106" t="n"/>
      <c r="J68" s="106" t="n"/>
    </row>
    <row r="69">
      <c r="A69" s="106" t="n"/>
      <c r="B69" s="106" t="n"/>
      <c r="C69" s="106" t="n"/>
      <c r="D69" s="106" t="n"/>
      <c r="E69" s="106" t="n"/>
      <c r="F69" s="106" t="n"/>
      <c r="G69" s="106" t="n"/>
      <c r="H69" s="106" t="n"/>
      <c r="I69" s="106" t="n"/>
      <c r="J69" s="106" t="n"/>
    </row>
    <row r="70">
      <c r="A70" s="106" t="n"/>
      <c r="B70" s="106" t="n"/>
      <c r="C70" s="106" t="n"/>
      <c r="D70" s="106" t="n"/>
      <c r="E70" s="106" t="n"/>
      <c r="F70" s="106" t="n"/>
      <c r="G70" s="106" t="n"/>
      <c r="H70" s="106" t="n"/>
      <c r="I70" s="106" t="n"/>
      <c r="J70" s="106" t="n"/>
    </row>
    <row r="71">
      <c r="A71" s="106" t="n"/>
      <c r="B71" s="106" t="n"/>
      <c r="C71" s="106" t="n"/>
      <c r="D71" s="106" t="n"/>
      <c r="E71" s="106" t="n"/>
      <c r="F71" s="106" t="n"/>
      <c r="G71" s="106" t="n"/>
      <c r="H71" s="106" t="n"/>
      <c r="I71" s="106" t="n"/>
      <c r="J71" s="106" t="n"/>
    </row>
    <row r="72">
      <c r="A72" s="106" t="n"/>
      <c r="B72" s="106" t="n"/>
      <c r="C72" s="106" t="n"/>
      <c r="D72" s="106" t="n"/>
      <c r="E72" s="106" t="n"/>
      <c r="F72" s="106" t="n"/>
      <c r="G72" s="106" t="n"/>
      <c r="H72" s="106" t="n"/>
      <c r="I72" s="106" t="n"/>
      <c r="J72" s="106" t="n"/>
    </row>
    <row r="73">
      <c r="A73" s="106" t="n"/>
      <c r="B73" s="106" t="n"/>
      <c r="C73" s="106" t="n"/>
      <c r="D73" s="106" t="n"/>
      <c r="E73" s="106" t="n"/>
      <c r="F73" s="106" t="n"/>
      <c r="G73" s="106" t="n"/>
      <c r="H73" s="106" t="n"/>
      <c r="I73" s="106" t="n"/>
      <c r="J73" s="106" t="n"/>
    </row>
    <row r="74">
      <c r="A74" s="106" t="n"/>
      <c r="B74" s="106" t="n"/>
      <c r="C74" s="106" t="n"/>
      <c r="D74" s="106" t="n"/>
      <c r="E74" s="106" t="n"/>
      <c r="F74" s="106" t="n"/>
      <c r="G74" s="106" t="n"/>
      <c r="H74" s="106" t="n"/>
      <c r="I74" s="106" t="n"/>
      <c r="J74" s="106" t="n"/>
    </row>
    <row r="75">
      <c r="A75" s="106" t="n"/>
      <c r="B75" s="106" t="n"/>
      <c r="C75" s="106" t="n"/>
      <c r="D75" s="106" t="n"/>
      <c r="E75" s="106" t="n"/>
      <c r="F75" s="106" t="n"/>
      <c r="G75" s="106" t="n"/>
      <c r="H75" s="106" t="n"/>
      <c r="I75" s="106" t="n"/>
      <c r="J75" s="106" t="n"/>
    </row>
    <row r="76">
      <c r="A76" s="106" t="n"/>
      <c r="B76" s="106" t="n"/>
      <c r="C76" s="106" t="n"/>
      <c r="D76" s="106" t="n"/>
      <c r="E76" s="106" t="n"/>
      <c r="F76" s="106" t="n"/>
      <c r="G76" s="106" t="n"/>
      <c r="H76" s="106" t="n"/>
      <c r="I76" s="106" t="n"/>
      <c r="J76" s="106" t="n"/>
    </row>
    <row r="77">
      <c r="A77" s="106" t="n"/>
      <c r="B77" s="106" t="n"/>
      <c r="C77" s="106" t="n"/>
      <c r="D77" s="106" t="n"/>
      <c r="E77" s="106" t="n"/>
      <c r="F77" s="106" t="n"/>
      <c r="G77" s="106" t="n"/>
      <c r="H77" s="106" t="n"/>
      <c r="I77" s="106" t="n"/>
      <c r="J77" s="106" t="n"/>
    </row>
    <row r="78">
      <c r="A78" s="106" t="n"/>
      <c r="B78" s="106" t="n"/>
      <c r="C78" s="106" t="n"/>
      <c r="D78" s="106" t="n"/>
      <c r="E78" s="106" t="n"/>
      <c r="F78" s="106" t="n"/>
      <c r="G78" s="106" t="n"/>
      <c r="H78" s="106" t="n"/>
      <c r="I78" s="106" t="n"/>
      <c r="J78" s="106" t="n"/>
    </row>
    <row r="79">
      <c r="A79" s="106" t="n"/>
      <c r="B79" s="106" t="n"/>
      <c r="C79" s="106" t="n"/>
      <c r="D79" s="106" t="n"/>
      <c r="E79" s="106" t="n"/>
      <c r="F79" s="106" t="n"/>
      <c r="G79" s="106" t="n"/>
      <c r="H79" s="106" t="n"/>
      <c r="I79" s="106" t="n"/>
      <c r="J79" s="106" t="n"/>
    </row>
    <row r="80">
      <c r="A80" s="106" t="n"/>
      <c r="B80" s="106" t="n"/>
      <c r="C80" s="106" t="n"/>
      <c r="D80" s="106" t="n"/>
      <c r="E80" s="106" t="n"/>
      <c r="F80" s="106" t="n"/>
      <c r="G80" s="106" t="n"/>
      <c r="H80" s="106" t="n"/>
      <c r="I80" s="106" t="n"/>
      <c r="J80" s="106" t="n"/>
    </row>
    <row r="81">
      <c r="A81" s="106" t="n"/>
      <c r="B81" s="106" t="n"/>
      <c r="C81" s="106" t="n"/>
      <c r="D81" s="106" t="n"/>
      <c r="E81" s="106" t="n"/>
      <c r="F81" s="106" t="n"/>
      <c r="G81" s="106" t="n"/>
      <c r="H81" s="106" t="n"/>
      <c r="I81" s="106" t="n"/>
      <c r="J81" s="106" t="n"/>
    </row>
    <row r="82">
      <c r="A82" s="106" t="n"/>
      <c r="B82" s="106" t="n"/>
      <c r="C82" s="106" t="n"/>
      <c r="D82" s="106" t="n"/>
      <c r="E82" s="106" t="n"/>
      <c r="F82" s="106" t="n"/>
      <c r="G82" s="106" t="n"/>
      <c r="H82" s="106" t="n"/>
      <c r="I82" s="106" t="n"/>
      <c r="J82" s="106" t="n"/>
    </row>
    <row r="83">
      <c r="A83" s="106" t="n"/>
      <c r="B83" s="106" t="n"/>
      <c r="C83" s="106" t="n"/>
      <c r="D83" s="106" t="n"/>
      <c r="E83" s="106" t="n"/>
      <c r="F83" s="106" t="n"/>
      <c r="G83" s="106" t="n"/>
      <c r="H83" s="106" t="n"/>
      <c r="I83" s="106" t="n"/>
      <c r="J83" s="106" t="n"/>
    </row>
    <row r="84">
      <c r="A84" s="106" t="n"/>
      <c r="B84" s="106" t="n"/>
      <c r="C84" s="106" t="n"/>
      <c r="D84" s="106" t="n"/>
      <c r="E84" s="106" t="n"/>
      <c r="F84" s="106" t="n"/>
      <c r="G84" s="106" t="n"/>
      <c r="H84" s="106" t="n"/>
      <c r="I84" s="106" t="n"/>
      <c r="J84" s="106" t="n"/>
    </row>
    <row r="85">
      <c r="A85" s="106" t="n"/>
      <c r="B85" s="106" t="n"/>
      <c r="C85" s="106" t="n"/>
      <c r="D85" s="106" t="n"/>
      <c r="E85" s="106" t="n"/>
      <c r="F85" s="106" t="n"/>
      <c r="G85" s="106" t="n"/>
      <c r="H85" s="106" t="n"/>
      <c r="I85" s="106" t="n"/>
      <c r="J85" s="106" t="n"/>
    </row>
    <row r="86">
      <c r="A86" s="106" t="n"/>
      <c r="B86" s="106" t="n"/>
      <c r="C86" s="106" t="n"/>
      <c r="D86" s="106" t="n"/>
      <c r="E86" s="106" t="n"/>
      <c r="F86" s="106" t="n"/>
      <c r="G86" s="106" t="n"/>
      <c r="H86" s="106" t="n"/>
      <c r="I86" s="106" t="n"/>
      <c r="J86" s="106" t="n"/>
    </row>
    <row r="87">
      <c r="A87" s="106" t="n"/>
      <c r="B87" s="106" t="n"/>
      <c r="C87" s="106" t="n"/>
      <c r="D87" s="106" t="n"/>
      <c r="E87" s="106" t="n"/>
      <c r="F87" s="106" t="n"/>
      <c r="G87" s="106" t="n"/>
      <c r="H87" s="106" t="n"/>
      <c r="I87" s="106" t="n"/>
      <c r="J87" s="106" t="n"/>
    </row>
    <row r="88">
      <c r="A88" s="106" t="n"/>
      <c r="B88" s="106" t="n"/>
      <c r="C88" s="106" t="n"/>
      <c r="D88" s="106" t="n"/>
      <c r="E88" s="106" t="n"/>
      <c r="F88" s="106" t="n"/>
      <c r="G88" s="106" t="n"/>
      <c r="H88" s="106" t="n"/>
      <c r="I88" s="106" t="n"/>
      <c r="J88" s="106" t="n"/>
    </row>
    <row r="89">
      <c r="A89" s="106" t="n"/>
      <c r="B89" s="106" t="n"/>
      <c r="C89" s="106" t="n"/>
      <c r="D89" s="106" t="n"/>
      <c r="E89" s="106" t="n"/>
      <c r="F89" s="106" t="n"/>
      <c r="G89" s="106" t="n"/>
      <c r="H89" s="106" t="n"/>
      <c r="I89" s="106" t="n"/>
      <c r="J89" s="106" t="n"/>
    </row>
    <row r="90">
      <c r="A90" s="106" t="n"/>
      <c r="B90" s="106" t="n"/>
      <c r="C90" s="106" t="n"/>
      <c r="D90" s="106" t="n"/>
      <c r="E90" s="106" t="n"/>
      <c r="F90" s="106" t="n"/>
      <c r="G90" s="106" t="n"/>
      <c r="H90" s="106" t="n"/>
      <c r="I90" s="106" t="n"/>
      <c r="J90" s="106" t="n"/>
    </row>
    <row r="91">
      <c r="A91" s="106" t="n"/>
      <c r="B91" s="106" t="n"/>
      <c r="C91" s="106" t="n"/>
      <c r="D91" s="106" t="n"/>
      <c r="E91" s="106" t="n"/>
      <c r="F91" s="106" t="n"/>
      <c r="G91" s="106" t="n"/>
      <c r="H91" s="106" t="n"/>
      <c r="I91" s="106" t="n"/>
      <c r="J91" s="106" t="n"/>
    </row>
    <row r="92">
      <c r="A92" s="106" t="n"/>
      <c r="B92" s="106" t="n"/>
      <c r="C92" s="106" t="n"/>
      <c r="D92" s="106" t="n"/>
      <c r="E92" s="106" t="n"/>
      <c r="F92" s="106" t="n"/>
      <c r="G92" s="106" t="n"/>
      <c r="H92" s="106" t="n"/>
      <c r="I92" s="106" t="n"/>
      <c r="J92" s="106" t="n"/>
    </row>
    <row r="93">
      <c r="A93" s="106" t="n"/>
      <c r="B93" s="106" t="n"/>
      <c r="C93" s="106" t="n"/>
      <c r="D93" s="106" t="n"/>
      <c r="E93" s="106" t="n"/>
      <c r="F93" s="106" t="n"/>
      <c r="G93" s="106" t="n"/>
      <c r="H93" s="106" t="n"/>
      <c r="I93" s="106" t="n"/>
      <c r="J93" s="106" t="n"/>
    </row>
    <row r="94">
      <c r="A94" s="106" t="n"/>
      <c r="B94" s="106" t="n"/>
      <c r="C94" s="106" t="n"/>
      <c r="D94" s="106" t="n"/>
      <c r="E94" s="106" t="n"/>
      <c r="F94" s="106" t="n"/>
      <c r="G94" s="106" t="n"/>
      <c r="H94" s="106" t="n"/>
      <c r="I94" s="106" t="n"/>
      <c r="J94" s="106" t="n"/>
    </row>
    <row r="95">
      <c r="A95" s="106" t="n"/>
      <c r="B95" s="106" t="n"/>
      <c r="C95" s="106" t="n"/>
      <c r="D95" s="106" t="n"/>
      <c r="E95" s="106" t="n"/>
      <c r="F95" s="106" t="n"/>
      <c r="G95" s="106" t="n"/>
      <c r="H95" s="106" t="n"/>
      <c r="I95" s="106" t="n"/>
      <c r="J95" s="106" t="n"/>
    </row>
    <row r="96">
      <c r="A96" s="106" t="n"/>
      <c r="B96" s="106" t="n"/>
      <c r="C96" s="106" t="n"/>
      <c r="D96" s="106" t="n"/>
      <c r="E96" s="106" t="n"/>
      <c r="F96" s="106" t="n"/>
      <c r="G96" s="106" t="n"/>
      <c r="H96" s="106" t="n"/>
      <c r="I96" s="106" t="n"/>
      <c r="J96" s="106" t="n"/>
    </row>
    <row r="97">
      <c r="A97" s="106" t="n"/>
      <c r="B97" s="106" t="n"/>
      <c r="C97" s="106" t="n"/>
      <c r="D97" s="106" t="n"/>
      <c r="E97" s="106" t="n"/>
      <c r="F97" s="106" t="n"/>
      <c r="G97" s="106" t="n"/>
      <c r="H97" s="106" t="n"/>
      <c r="I97" s="106" t="n"/>
      <c r="J97" s="106" t="n"/>
    </row>
    <row r="98">
      <c r="A98" s="106" t="n"/>
      <c r="B98" s="106" t="n"/>
      <c r="C98" s="106" t="n"/>
      <c r="D98" s="106" t="n"/>
      <c r="E98" s="106" t="n"/>
      <c r="F98" s="106" t="n"/>
      <c r="G98" s="106" t="n"/>
      <c r="H98" s="106" t="n"/>
      <c r="I98" s="106" t="n"/>
      <c r="J98" s="106" t="n"/>
    </row>
    <row r="99">
      <c r="A99" s="106" t="n"/>
      <c r="B99" s="106" t="n"/>
      <c r="C99" s="106" t="n"/>
      <c r="D99" s="106" t="n"/>
      <c r="E99" s="106" t="n"/>
      <c r="F99" s="106" t="n"/>
      <c r="G99" s="106" t="n"/>
      <c r="H99" s="106" t="n"/>
      <c r="I99" s="106" t="n"/>
      <c r="J99" s="106" t="n"/>
    </row>
    <row r="100">
      <c r="A100" s="106" t="n"/>
      <c r="B100" s="106" t="n"/>
      <c r="C100" s="106" t="n"/>
      <c r="D100" s="106" t="n"/>
      <c r="E100" s="106" t="n"/>
      <c r="F100" s="106" t="n"/>
      <c r="G100" s="106" t="n"/>
      <c r="H100" s="106" t="n"/>
      <c r="I100" s="106" t="n"/>
      <c r="J100" s="106" t="n"/>
    </row>
  </sheetData>
  <mergeCells count="1">
    <mergeCell ref="A1:P1"/>
  </mergeCells>
  <conditionalFormatting sqref="B6:P6 B12:Q12">
    <cfRule type="cellIs" rank="0" priority="2" equalAverage="0" operator="equal" aboveAverage="0" dxfId="0" text="" percent="0" bottom="0">
      <formula>101</formula>
    </cfRule>
    <cfRule type="cellIs" rank="0" priority="3" equalAverage="0" operator="equal" aboveAverage="0" dxfId="1" text="" percent="0" bottom="0">
      <formula>102</formula>
    </cfRule>
    <cfRule type="cellIs" rank="0" priority="4" equalAverage="0" operator="equal" aboveAverage="0" dxfId="2" text="" percent="0" bottom="0">
      <formula>111</formula>
    </cfRule>
    <cfRule type="cellIs" rank="0" priority="5" equalAverage="0" operator="equal" aboveAverage="0" dxfId="3" text="" percent="0" bottom="0">
      <formula>112</formula>
    </cfRule>
    <cfRule type="cellIs" rank="0" priority="6" equalAverage="0" operator="equal" aboveAverage="0" dxfId="4" text="" percent="0" bottom="0">
      <formula>121</formula>
    </cfRule>
    <cfRule type="cellIs" rank="0" priority="7" equalAverage="0" operator="equal" aboveAverage="0" dxfId="0" text="" percent="0" bottom="0">
      <formula>6101</formula>
    </cfRule>
    <cfRule type="cellIs" rank="0" priority="8" equalAverage="0" operator="equal" aboveAverage="0" dxfId="1" text="" percent="0" bottom="0">
      <formula>6102</formula>
    </cfRule>
    <cfRule type="cellIs" rank="0" priority="9" equalAverage="0" operator="equal" aboveAverage="0" dxfId="2" text="" percent="0" bottom="0">
      <formula>6111</formula>
    </cfRule>
    <cfRule type="cellIs" rank="0" priority="10" equalAverage="0" operator="equal" aboveAverage="0" dxfId="3" text="" percent="0" bottom="0">
      <formula>6112</formula>
    </cfRule>
    <cfRule type="cellIs" rank="0" priority="11" equalAverage="0" operator="equal" aboveAverage="0" dxfId="4" text="" percent="0" bottom="0">
      <formula>6121</formula>
    </cfRule>
    <cfRule type="cellIs" rank="0" priority="12" equalAverage="0" operator="equal" aboveAverage="0" dxfId="0" text="" percent="0" bottom="0">
      <formula>7101</formula>
    </cfRule>
    <cfRule type="cellIs" rank="0" priority="13" equalAverage="0" operator="equal" aboveAverage="0" dxfId="1" text="" percent="0" bottom="0">
      <formula>7102</formula>
    </cfRule>
    <cfRule type="cellIs" rank="0" priority="14" equalAverage="0" operator="equal" aboveAverage="0" dxfId="2" text="" percent="0" bottom="0">
      <formula>7111</formula>
    </cfRule>
    <cfRule type="cellIs" rank="0" priority="15" equalAverage="0" operator="equal" aboveAverage="0" dxfId="3" text="" percent="0" bottom="0">
      <formula>7112</formula>
    </cfRule>
    <cfRule type="cellIs" rank="0" priority="16" equalAverage="0" operator="equal" aboveAverage="0" dxfId="4" text="" percent="0" bottom="0">
      <formula>7121</formula>
    </cfRule>
    <cfRule type="cellIs" rank="0" priority="17" equalAverage="0" operator="equal" aboveAverage="0" dxfId="5" text="" percent="0" bottom="0">
      <formula>"X_AM"</formula>
    </cfRule>
    <cfRule type="cellIs" rank="0" priority="18" equalAverage="0" operator="equal" aboveAverage="0" dxfId="5" text="" percent="0" bottom="0">
      <formula>"X_PM"</formula>
    </cfRule>
    <cfRule type="cellIs" rank="0" priority="19" equalAverage="0" operator="equal" aboveAverage="0" dxfId="6" text="" percent="0" bottom="0">
      <formula>"X_10"</formula>
    </cfRule>
    <cfRule type="cellIs" rank="0" priority="20" equalAverage="0" operator="equal" aboveAverage="0" dxfId="7" text="" percent="0" bottom="0">
      <formula>"CN"</formula>
    </cfRule>
    <cfRule type="cellIs" rank="0" priority="21" equalAverage="0" operator="equal" aboveAverage="0" dxfId="7" text="" percent="0" bottom="0">
      <formula>"JC"</formula>
    </cfRule>
    <cfRule type="cellIs" rank="0" priority="22" equalAverage="0" operator="equal" aboveAverage="0" dxfId="8" text="" percent="0" bottom="0">
      <formula>"RH"</formula>
    </cfRule>
    <cfRule type="cellIs" rank="0" priority="23" equalAverage="0" operator="equal" aboveAverage="0" dxfId="9" text="" percent="0" bottom="0">
      <formula>"CH"</formula>
    </cfRule>
    <cfRule type="cellIs" rank="0" priority="24" equalAverage="0" operator="equal" aboveAverage="0" dxfId="10" text="" percent="0" bottom="0">
      <formula>"RR"</formula>
    </cfRule>
    <cfRule type="cellIs" rank="0" priority="25" equalAverage="0" operator="equal" aboveAverage="0" dxfId="11" text="" percent="0" bottom="0">
      <formula>"ZM"</formula>
    </cfRule>
  </conditionalFormatting>
  <conditionalFormatting sqref="B56">
    <cfRule type="cellIs" rank="0" priority="26" equalAverage="0" operator="greaterThan" aboveAverage="0" dxfId="12" text="" percent="0" bottom="0">
      <formula>160</formula>
    </cfRule>
  </conditionalFormatting>
  <conditionalFormatting sqref="B6:Q6">
    <cfRule type="cellIs" priority="26" operator="equal" dxfId="13">
      <formula>"CV"</formula>
    </cfRule>
    <cfRule type="cellIs" priority="27" operator="equal" dxfId="14">
      <formula>"AG"</formula>
    </cfRule>
  </conditionalFormatting>
  <conditionalFormatting sqref="B12:R12">
    <cfRule type="cellIs" priority="28" operator="equal" dxfId="13">
      <formula>"CV"</formula>
    </cfRule>
    <cfRule type="cellIs" priority="29" operator="equal" dxfId="14">
      <formula>"AG"</formula>
    </cfRule>
  </conditionalFormatting>
  <conditionalFormatting sqref="B55">
    <cfRule type="cellIs" priority="30" operator="greaterThan" dxfId="15">
      <formula>160</formula>
    </cfRule>
  </conditionalFormatting>
  <conditionalFormatting sqref="C55">
    <cfRule type="cellIs" priority="31" operator="notEqual" dxfId="16">
      <formula>4</formula>
    </cfRule>
  </conditionalFormatting>
  <conditionalFormatting sqref="D55">
    <cfRule type="cellIs" priority="32" operator="notEqual" dxfId="16">
      <formula>4</formula>
    </cfRule>
  </conditionalFormatting>
  <conditionalFormatting sqref="E55">
    <cfRule type="cellIs" priority="33" operator="notEqual" dxfId="16">
      <formula>1</formula>
    </cfRule>
  </conditionalFormatting>
  <conditionalFormatting sqref="H55">
    <cfRule type="cellIs" priority="34" operator="equal" dxfId="17">
      <formula>"✓ OK"</formula>
    </cfRule>
    <cfRule type="cellIs" priority="35" operator="notEqual" dxfId="15">
      <formula>"✓ OK"</formula>
    </cfRule>
  </conditionalFormatting>
  <dataValidations count="1">
    <dataValidation sqref="B6:Q6 B12:R12" showDropDown="0" showInputMessage="0" showErrorMessage="0" allowBlank="1" type="list">
      <formula1>"101,102,111,112,121,6101,6102,6111,6112,6121,7101,7102,7111,7112,7121,X_AM,X_PM,X_10,AG,CN,JC,RH,CH,RR,CV,ZM"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L48:L49 A1"/>
    </sheetView>
  </sheetViews>
  <sheetFormatPr baseColWidth="8" defaultColWidth="8.6796875" defaultRowHeight="15" customHeight="0" zeroHeight="0" outlineLevelRow="0"/>
  <cols>
    <col width="45" customWidth="1" style="66" min="1" max="1"/>
    <col width="10" customWidth="1" style="66" min="2" max="17"/>
  </cols>
  <sheetData>
    <row r="1" ht="24.75" customHeight="1" s="67">
      <c r="A1" s="107" t="inlineStr">
        <is>
          <t>FÉVRIER 2026</t>
        </is>
      </c>
    </row>
    <row r="2" ht="15" customHeight="1" s="67">
      <c r="A2" s="69" t="n"/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</row>
    <row r="3" ht="15" customHeight="1" s="67">
      <c r="A3" s="108" t="inlineStr">
        <is>
          <t>Jours 1-15</t>
        </is>
      </c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</row>
    <row r="4" ht="18" customHeight="1" s="67">
      <c r="A4" s="76" t="inlineStr">
        <is>
          <t>Jour</t>
        </is>
      </c>
      <c r="B4" s="111" t="n">
        <v>1</v>
      </c>
      <c r="C4" s="110" t="n">
        <v>2</v>
      </c>
      <c r="D4" s="110" t="n">
        <v>3</v>
      </c>
      <c r="E4" s="110" t="n">
        <v>4</v>
      </c>
      <c r="F4" s="110" t="n">
        <v>5</v>
      </c>
      <c r="G4" s="110" t="n">
        <v>6</v>
      </c>
      <c r="H4" s="111" t="n">
        <v>7</v>
      </c>
      <c r="I4" s="112" t="n">
        <v>8</v>
      </c>
      <c r="J4" s="112" t="n">
        <v>9</v>
      </c>
      <c r="K4" s="110" t="n">
        <v>10</v>
      </c>
      <c r="L4" s="110" t="n">
        <v>11</v>
      </c>
      <c r="M4" s="110" t="n">
        <v>12</v>
      </c>
      <c r="N4" s="110" t="n">
        <v>13</v>
      </c>
      <c r="O4" s="111" t="n">
        <v>14</v>
      </c>
      <c r="P4" s="111" t="n">
        <v>15</v>
      </c>
    </row>
    <row r="5" ht="18" customHeight="1" s="67">
      <c r="A5" s="76" t="inlineStr">
        <is>
          <t>J.sem</t>
        </is>
      </c>
      <c r="B5" s="111" t="inlineStr">
        <is>
          <t>D</t>
        </is>
      </c>
      <c r="C5" s="110" t="inlineStr">
        <is>
          <t>L</t>
        </is>
      </c>
      <c r="D5" s="110" t="inlineStr">
        <is>
          <t>M</t>
        </is>
      </c>
      <c r="E5" s="110" t="inlineStr">
        <is>
          <t>M</t>
        </is>
      </c>
      <c r="F5" s="110" t="inlineStr">
        <is>
          <t>J</t>
        </is>
      </c>
      <c r="G5" s="110" t="inlineStr">
        <is>
          <t>V</t>
        </is>
      </c>
      <c r="H5" s="111" t="inlineStr">
        <is>
          <t>S</t>
        </is>
      </c>
      <c r="I5" s="112" t="inlineStr">
        <is>
          <t>D</t>
        </is>
      </c>
      <c r="J5" s="112" t="inlineStr">
        <is>
          <t>L</t>
        </is>
      </c>
      <c r="K5" s="110" t="inlineStr">
        <is>
          <t>M</t>
        </is>
      </c>
      <c r="L5" s="110" t="inlineStr">
        <is>
          <t>M</t>
        </is>
      </c>
      <c r="M5" s="110" t="inlineStr">
        <is>
          <t>J</t>
        </is>
      </c>
      <c r="N5" s="110" t="inlineStr">
        <is>
          <t>V</t>
        </is>
      </c>
      <c r="O5" s="111" t="inlineStr">
        <is>
          <t>S</t>
        </is>
      </c>
      <c r="P5" s="111" t="inlineStr">
        <is>
          <t>D</t>
        </is>
      </c>
    </row>
    <row r="6" ht="24.75" customHeight="1" s="67">
      <c r="A6" s="76" t="inlineStr">
        <is>
          <t>Code</t>
        </is>
      </c>
      <c r="B6" s="114" t="n"/>
      <c r="C6" s="114" t="n"/>
      <c r="D6" s="114" t="n"/>
      <c r="E6" s="114" t="n"/>
      <c r="F6" s="114" t="n"/>
      <c r="G6" s="114" t="n"/>
      <c r="H6" s="114" t="n"/>
      <c r="I6" s="139" t="n"/>
      <c r="J6" s="115" t="n"/>
      <c r="K6" s="114" t="n"/>
      <c r="L6" s="114" t="n"/>
      <c r="M6" s="114" t="n"/>
      <c r="N6" s="114" t="n"/>
      <c r="O6" s="114" t="n"/>
      <c r="P6" s="114" t="n"/>
    </row>
    <row r="7" ht="15" customHeight="1" s="67">
      <c r="A7" s="76" t="inlineStr">
        <is>
          <t>Période</t>
        </is>
      </c>
      <c r="B7" s="118" t="inlineStr">
        <is>
          <t>P1</t>
        </is>
      </c>
      <c r="C7" s="118" t="inlineStr">
        <is>
          <t>P1</t>
        </is>
      </c>
      <c r="D7" s="118" t="inlineStr">
        <is>
          <t>P1</t>
        </is>
      </c>
      <c r="E7" s="118" t="inlineStr">
        <is>
          <t>P1</t>
        </is>
      </c>
      <c r="F7" s="118" t="inlineStr">
        <is>
          <t>P1</t>
        </is>
      </c>
      <c r="G7" s="118" t="inlineStr">
        <is>
          <t>P1</t>
        </is>
      </c>
      <c r="H7" s="118" t="inlineStr">
        <is>
          <t>P1</t>
        </is>
      </c>
      <c r="I7" s="117" t="inlineStr">
        <is>
          <t>P1</t>
        </is>
      </c>
      <c r="J7" s="117" t="inlineStr">
        <is>
          <t>P2</t>
        </is>
      </c>
      <c r="K7" s="118" t="inlineStr">
        <is>
          <t>P2</t>
        </is>
      </c>
      <c r="L7" s="118" t="inlineStr">
        <is>
          <t>P2</t>
        </is>
      </c>
      <c r="M7" s="118" t="inlineStr">
        <is>
          <t>P2</t>
        </is>
      </c>
      <c r="N7" s="118" t="inlineStr">
        <is>
          <t>P2</t>
        </is>
      </c>
      <c r="O7" s="118" t="inlineStr">
        <is>
          <t>P2</t>
        </is>
      </c>
      <c r="P7" s="118" t="inlineStr">
        <is>
          <t>P2</t>
        </is>
      </c>
    </row>
    <row r="8" ht="15" customHeight="1" s="67">
      <c r="A8" s="69" t="n"/>
      <c r="B8" s="69" t="n"/>
      <c r="C8" s="69" t="n"/>
      <c r="D8" s="69" t="n"/>
      <c r="E8" s="69" t="n"/>
      <c r="F8" s="69" t="n"/>
      <c r="G8" s="69" t="n"/>
      <c r="H8" s="69" t="n"/>
      <c r="I8" s="69" t="n"/>
      <c r="J8" s="69" t="n"/>
      <c r="K8" s="69" t="n"/>
      <c r="L8" s="69" t="n"/>
      <c r="M8" s="69" t="n"/>
      <c r="N8" s="69" t="n"/>
      <c r="O8" s="69" t="n"/>
      <c r="P8" s="69" t="n"/>
    </row>
    <row r="9" ht="15" customHeight="1" s="67">
      <c r="A9" s="108" t="inlineStr">
        <is>
          <t>Jours 16-28</t>
        </is>
      </c>
      <c r="B9" s="69" t="n"/>
      <c r="C9" s="69" t="n"/>
      <c r="D9" s="69" t="n"/>
      <c r="E9" s="69" t="n"/>
      <c r="F9" s="69" t="n"/>
      <c r="G9" s="69" t="n"/>
      <c r="H9" s="69" t="n"/>
      <c r="I9" s="69" t="n"/>
      <c r="J9" s="69" t="n"/>
      <c r="K9" s="69" t="n"/>
      <c r="L9" s="69" t="n"/>
      <c r="M9" s="69" t="n"/>
      <c r="N9" s="69" t="n"/>
      <c r="O9" s="69" t="n"/>
      <c r="P9" s="69" t="n"/>
    </row>
    <row r="10" ht="18" customHeight="1" s="67">
      <c r="A10" s="76" t="inlineStr">
        <is>
          <t>Jour</t>
        </is>
      </c>
      <c r="B10" s="110" t="n">
        <v>16</v>
      </c>
      <c r="C10" s="110" t="n">
        <v>17</v>
      </c>
      <c r="D10" s="110" t="n">
        <v>18</v>
      </c>
      <c r="E10" s="110" t="n">
        <v>19</v>
      </c>
      <c r="F10" s="110" t="n">
        <v>20</v>
      </c>
      <c r="G10" s="111" t="n">
        <v>21</v>
      </c>
      <c r="H10" s="111" t="n">
        <v>22</v>
      </c>
      <c r="I10" s="110" t="n">
        <v>23</v>
      </c>
      <c r="J10" s="110" t="n">
        <v>24</v>
      </c>
      <c r="K10" s="110" t="n">
        <v>25</v>
      </c>
      <c r="L10" s="110" t="n">
        <v>26</v>
      </c>
      <c r="M10" s="110" t="n">
        <v>27</v>
      </c>
      <c r="N10" s="111" t="n">
        <v>28</v>
      </c>
      <c r="O10" s="140" t="n"/>
      <c r="P10" s="140" t="n"/>
      <c r="Q10" s="141" t="n"/>
    </row>
    <row r="11" ht="18" customHeight="1" s="67">
      <c r="A11" s="76" t="inlineStr">
        <is>
          <t>J.sem</t>
        </is>
      </c>
      <c r="B11" s="110" t="inlineStr">
        <is>
          <t>L</t>
        </is>
      </c>
      <c r="C11" s="110" t="inlineStr">
        <is>
          <t>M</t>
        </is>
      </c>
      <c r="D11" s="110" t="inlineStr">
        <is>
          <t>M</t>
        </is>
      </c>
      <c r="E11" s="110" t="inlineStr">
        <is>
          <t>J</t>
        </is>
      </c>
      <c r="F11" s="110" t="inlineStr">
        <is>
          <t>V</t>
        </is>
      </c>
      <c r="G11" s="111" t="inlineStr">
        <is>
          <t>S</t>
        </is>
      </c>
      <c r="H11" s="111" t="inlineStr">
        <is>
          <t>D</t>
        </is>
      </c>
      <c r="I11" s="110" t="inlineStr">
        <is>
          <t>L</t>
        </is>
      </c>
      <c r="J11" s="110" t="inlineStr">
        <is>
          <t>M</t>
        </is>
      </c>
      <c r="K11" s="110" t="inlineStr">
        <is>
          <t>M</t>
        </is>
      </c>
      <c r="L11" s="110" t="inlineStr">
        <is>
          <t>J</t>
        </is>
      </c>
      <c r="M11" s="110" t="inlineStr">
        <is>
          <t>V</t>
        </is>
      </c>
      <c r="N11" s="111" t="inlineStr">
        <is>
          <t>S</t>
        </is>
      </c>
      <c r="O11" s="140" t="n"/>
      <c r="P11" s="140" t="n"/>
      <c r="Q11" s="141" t="n"/>
    </row>
    <row r="12" ht="24.75" customHeight="1" s="67">
      <c r="A12" s="76" t="inlineStr">
        <is>
          <t>Code</t>
        </is>
      </c>
      <c r="B12" s="114" t="n"/>
      <c r="C12" s="114" t="n"/>
      <c r="D12" s="114" t="n"/>
      <c r="E12" s="114" t="n"/>
      <c r="F12" s="114" t="n"/>
      <c r="G12" s="114" t="n"/>
      <c r="H12" s="114" t="n"/>
      <c r="I12" s="114" t="n"/>
      <c r="J12" s="114" t="n"/>
      <c r="K12" s="114" t="n"/>
      <c r="L12" s="114" t="n"/>
      <c r="M12" s="114" t="n"/>
      <c r="N12" s="114" t="n"/>
      <c r="O12" s="140" t="n"/>
      <c r="P12" s="140" t="n"/>
      <c r="Q12" s="141" t="n"/>
    </row>
    <row r="13" ht="15" customHeight="1" s="67">
      <c r="A13" s="76" t="inlineStr">
        <is>
          <t>Période</t>
        </is>
      </c>
      <c r="B13" s="118" t="inlineStr">
        <is>
          <t>P2</t>
        </is>
      </c>
      <c r="C13" s="118" t="inlineStr">
        <is>
          <t>P2</t>
        </is>
      </c>
      <c r="D13" s="118" t="inlineStr">
        <is>
          <t>P2</t>
        </is>
      </c>
      <c r="E13" s="118" t="inlineStr">
        <is>
          <t>P2</t>
        </is>
      </c>
      <c r="F13" s="118" t="inlineStr">
        <is>
          <t>P2</t>
        </is>
      </c>
      <c r="G13" s="118" t="inlineStr">
        <is>
          <t>P2</t>
        </is>
      </c>
      <c r="H13" s="118" t="inlineStr">
        <is>
          <t>P2</t>
        </is>
      </c>
      <c r="I13" s="118" t="inlineStr">
        <is>
          <t>P2</t>
        </is>
      </c>
      <c r="J13" s="118" t="inlineStr">
        <is>
          <t>P2</t>
        </is>
      </c>
      <c r="K13" s="118" t="inlineStr">
        <is>
          <t>P2</t>
        </is>
      </c>
      <c r="L13" s="118" t="inlineStr">
        <is>
          <t>P2</t>
        </is>
      </c>
      <c r="M13" s="118" t="inlineStr">
        <is>
          <t>P2</t>
        </is>
      </c>
      <c r="N13" s="118" t="inlineStr">
        <is>
          <t>P2</t>
        </is>
      </c>
      <c r="O13" s="140" t="n"/>
      <c r="P13" s="140" t="n"/>
      <c r="Q13" s="141" t="n"/>
    </row>
    <row r="16" ht="15" customHeight="1" s="67">
      <c r="A16" s="104" t="inlineStr">
        <is>
          <t>Prestations</t>
        </is>
      </c>
      <c r="B16" s="104" t="inlineStr">
        <is>
          <t>Jours</t>
        </is>
      </c>
      <c r="C16" s="104" t="inlineStr">
        <is>
          <t>H. Totales</t>
        </is>
      </c>
      <c r="D16" s="104" t="inlineStr">
        <is>
          <t>H. Nuit</t>
        </is>
      </c>
      <c r="E16" s="104" t="inlineStr">
        <is>
          <t>Couleur</t>
        </is>
      </c>
      <c r="F16" s="106" t="n"/>
      <c r="G16" s="106" t="n"/>
      <c r="H16" s="106" t="n"/>
      <c r="I16" s="106" t="n"/>
      <c r="J16" s="106" t="n"/>
    </row>
    <row r="17">
      <c r="A17" s="105" t="inlineStr">
        <is>
          <t>101</t>
        </is>
      </c>
      <c r="B17" s="105">
        <f>COUNTIF(B6:P6,"101")+COUNTIF(B12:R12,"101")</f>
        <v/>
      </c>
      <c r="C17" s="105">
        <f>B17*8</f>
        <v/>
      </c>
      <c r="D17" s="105">
        <f>B17*2</f>
        <v/>
      </c>
      <c r="E17" s="121" t="n"/>
      <c r="F17" s="106" t="n"/>
      <c r="G17" s="106" t="n"/>
      <c r="H17" s="106" t="n"/>
      <c r="I17" s="106" t="n"/>
      <c r="J17" s="106" t="n"/>
    </row>
    <row r="18" ht="15" customHeight="1" s="67">
      <c r="A18" s="105" t="inlineStr">
        <is>
          <t>102</t>
        </is>
      </c>
      <c r="B18" s="105">
        <f>COUNTIF(B6:P6,"102")+COUNTIF(B12:R12,"102")</f>
        <v/>
      </c>
      <c r="C18" s="105">
        <f>B18*8</f>
        <v/>
      </c>
      <c r="D18" s="105">
        <f>B18*2</f>
        <v/>
      </c>
      <c r="E18" s="122" t="n"/>
      <c r="F18" s="106" t="n"/>
      <c r="G18" s="106" t="n"/>
      <c r="H18" s="106" t="n"/>
      <c r="I18" s="106" t="n"/>
      <c r="J18" s="106" t="n"/>
    </row>
    <row r="19" ht="15" customHeight="1" s="67">
      <c r="A19" s="105" t="inlineStr">
        <is>
          <t>111</t>
        </is>
      </c>
      <c r="B19" s="105">
        <f>COUNTIF(B6:P6,"111")+COUNTIF(B12:R12,"111")</f>
        <v/>
      </c>
      <c r="C19" s="105">
        <f>B19*8</f>
        <v/>
      </c>
      <c r="D19" s="105">
        <f>B19*2</f>
        <v/>
      </c>
      <c r="E19" s="123" t="n"/>
      <c r="F19" s="106" t="n"/>
      <c r="G19" s="106" t="n"/>
      <c r="H19" s="106" t="n"/>
      <c r="I19" s="106" t="n"/>
      <c r="J19" s="106" t="n"/>
    </row>
    <row r="20" ht="15" customHeight="1" s="67">
      <c r="A20" s="105" t="inlineStr">
        <is>
          <t>112</t>
        </is>
      </c>
      <c r="B20" s="105">
        <f>COUNTIF(B6:P6,"112")+COUNTIF(B12:R12,"112")</f>
        <v/>
      </c>
      <c r="C20" s="105">
        <f>B20*8</f>
        <v/>
      </c>
      <c r="D20" s="105">
        <f>B20*2</f>
        <v/>
      </c>
      <c r="E20" s="124" t="n"/>
      <c r="F20" s="106" t="n"/>
      <c r="G20" s="106" t="n"/>
      <c r="H20" s="106" t="n"/>
      <c r="I20" s="106" t="n"/>
      <c r="J20" s="106" t="n"/>
    </row>
    <row r="21" ht="15" customHeight="1" s="67">
      <c r="A21" s="105" t="inlineStr">
        <is>
          <t>121</t>
        </is>
      </c>
      <c r="B21" s="105">
        <f>COUNTIF(B6:P6,"121")+COUNTIF(B12:R12,"121")</f>
        <v/>
      </c>
      <c r="C21" s="105">
        <f>B21*8</f>
        <v/>
      </c>
      <c r="D21" s="105">
        <f>B21*8</f>
        <v/>
      </c>
      <c r="E21" s="125" t="n"/>
      <c r="F21" s="106" t="n"/>
      <c r="G21" s="106" t="n"/>
      <c r="H21" s="106" t="n"/>
      <c r="I21" s="106" t="n"/>
      <c r="J21" s="106" t="n"/>
    </row>
    <row r="22" ht="15" customHeight="1" s="67">
      <c r="A22" s="105" t="inlineStr">
        <is>
          <t>6101</t>
        </is>
      </c>
      <c r="B22" s="105">
        <f>COUNTIF(B6:P6,"6101")+COUNTIF(B12:R12,"6101")</f>
        <v/>
      </c>
      <c r="C22" s="105">
        <f>B22*8</f>
        <v/>
      </c>
      <c r="D22" s="105">
        <f>B22*2</f>
        <v/>
      </c>
      <c r="E22" s="121" t="n"/>
      <c r="F22" s="106" t="n"/>
      <c r="G22" s="106" t="n"/>
      <c r="H22" s="106" t="n"/>
      <c r="I22" s="106" t="n"/>
      <c r="J22" s="106" t="n"/>
    </row>
    <row r="23" ht="15" customHeight="1" s="67">
      <c r="A23" s="105" t="inlineStr">
        <is>
          <t>6102</t>
        </is>
      </c>
      <c r="B23" s="105">
        <f>COUNTIF(B6:P6,"6102")+COUNTIF(B12:R12,"6102")</f>
        <v/>
      </c>
      <c r="C23" s="105">
        <f>B23*8</f>
        <v/>
      </c>
      <c r="D23" s="105">
        <f>B23*2</f>
        <v/>
      </c>
      <c r="E23" s="122" t="n"/>
      <c r="F23" s="106" t="n"/>
      <c r="G23" s="106" t="n"/>
      <c r="H23" s="106" t="n"/>
      <c r="I23" s="106" t="n"/>
      <c r="J23" s="106" t="n"/>
    </row>
    <row r="24" ht="15" customHeight="1" s="67">
      <c r="A24" s="105" t="inlineStr">
        <is>
          <t>6111</t>
        </is>
      </c>
      <c r="B24" s="105">
        <f>COUNTIF(B6:P6,"6111")+COUNTIF(B12:R12,"6111")</f>
        <v/>
      </c>
      <c r="C24" s="105">
        <f>B24*8</f>
        <v/>
      </c>
      <c r="D24" s="105">
        <f>B24*2</f>
        <v/>
      </c>
      <c r="E24" s="123" t="n"/>
      <c r="F24" s="106" t="n"/>
      <c r="G24" s="106" t="n"/>
      <c r="H24" s="106" t="n"/>
      <c r="I24" s="106" t="n"/>
      <c r="J24" s="106" t="n"/>
    </row>
    <row r="25" ht="15" customHeight="1" s="67">
      <c r="A25" s="105" t="inlineStr">
        <is>
          <t>6112</t>
        </is>
      </c>
      <c r="B25" s="105">
        <f>COUNTIF(B6:P6,"6112")+COUNTIF(B12:R12,"6112")</f>
        <v/>
      </c>
      <c r="C25" s="105">
        <f>B25*8</f>
        <v/>
      </c>
      <c r="D25" s="105">
        <f>B25*2</f>
        <v/>
      </c>
      <c r="E25" s="124" t="n"/>
      <c r="F25" s="106" t="n"/>
      <c r="G25" s="106" t="n"/>
      <c r="H25" s="106" t="n"/>
      <c r="I25" s="106" t="n"/>
      <c r="J25" s="106" t="n"/>
    </row>
    <row r="26" ht="15" customHeight="1" s="67">
      <c r="A26" s="105" t="inlineStr">
        <is>
          <t>6121</t>
        </is>
      </c>
      <c r="B26" s="105">
        <f>COUNTIF(B6:P6,"6121")+COUNTIF(B12:R12,"6121")</f>
        <v/>
      </c>
      <c r="C26" s="105">
        <f>B26*8</f>
        <v/>
      </c>
      <c r="D26" s="105">
        <f>B26*8</f>
        <v/>
      </c>
      <c r="E26" s="125" t="n"/>
      <c r="F26" s="106" t="n"/>
      <c r="G26" s="106" t="n"/>
      <c r="H26" s="106" t="n"/>
      <c r="I26" s="106" t="n"/>
      <c r="J26" s="106" t="n"/>
    </row>
    <row r="27" ht="15" customHeight="1" s="67">
      <c r="A27" s="105" t="inlineStr">
        <is>
          <t>7101</t>
        </is>
      </c>
      <c r="B27" s="105">
        <f>COUNTIF(B6:P6,"7101")+COUNTIF(B12:R12,"7101")</f>
        <v/>
      </c>
      <c r="C27" s="105">
        <f>B27*8</f>
        <v/>
      </c>
      <c r="D27" s="105">
        <f>B27*2</f>
        <v/>
      </c>
      <c r="E27" s="121" t="n"/>
      <c r="F27" s="106" t="n"/>
      <c r="G27" s="106" t="n"/>
      <c r="H27" s="106" t="n"/>
      <c r="I27" s="106" t="n"/>
      <c r="J27" s="106" t="n"/>
    </row>
    <row r="28" ht="15" customHeight="1" s="67">
      <c r="A28" s="105" t="inlineStr">
        <is>
          <t>7102</t>
        </is>
      </c>
      <c r="B28" s="105">
        <f>COUNTIF(B6:P6,"7102")+COUNTIF(B12:R12,"7102")</f>
        <v/>
      </c>
      <c r="C28" s="105">
        <f>B28*8</f>
        <v/>
      </c>
      <c r="D28" s="105">
        <f>B28*2</f>
        <v/>
      </c>
      <c r="E28" s="122" t="n"/>
      <c r="F28" s="106" t="n"/>
      <c r="G28" s="106" t="n"/>
      <c r="H28" s="106" t="n"/>
      <c r="I28" s="106" t="n"/>
      <c r="J28" s="106" t="n"/>
    </row>
    <row r="29" ht="15" customHeight="1" s="67">
      <c r="A29" s="105" t="inlineStr">
        <is>
          <t>7111</t>
        </is>
      </c>
      <c r="B29" s="105">
        <f>COUNTIF(B6:P6,"7111")+COUNTIF(B12:R12,"7111")</f>
        <v/>
      </c>
      <c r="C29" s="105">
        <f>B29*8</f>
        <v/>
      </c>
      <c r="D29" s="105">
        <f>B29*2</f>
        <v/>
      </c>
      <c r="E29" s="123" t="n"/>
      <c r="F29" s="106" t="n"/>
      <c r="G29" s="106" t="n"/>
      <c r="H29" s="106" t="n"/>
      <c r="I29" s="106" t="n"/>
      <c r="J29" s="106" t="n"/>
    </row>
    <row r="30" ht="15" customHeight="1" s="67">
      <c r="A30" s="105" t="inlineStr">
        <is>
          <t>7112</t>
        </is>
      </c>
      <c r="B30" s="105">
        <f>COUNTIF(B6:P6,"7112")+COUNTIF(B12:R12,"7112")</f>
        <v/>
      </c>
      <c r="C30" s="105">
        <f>B30*8</f>
        <v/>
      </c>
      <c r="D30" s="105">
        <f>B30*2</f>
        <v/>
      </c>
      <c r="E30" s="124" t="n"/>
      <c r="F30" s="106" t="n"/>
      <c r="G30" s="106" t="n"/>
      <c r="H30" s="106" t="n"/>
      <c r="I30" s="106" t="n"/>
      <c r="J30" s="106" t="n"/>
    </row>
    <row r="31" ht="15" customHeight="1" s="67">
      <c r="A31" s="105" t="inlineStr">
        <is>
          <t>7121</t>
        </is>
      </c>
      <c r="B31" s="105">
        <f>COUNTIF(B6:P6,"7121")+COUNTIF(B12:R12,"7121")</f>
        <v/>
      </c>
      <c r="C31" s="105">
        <f>B31*8</f>
        <v/>
      </c>
      <c r="D31" s="105">
        <f>B31*8</f>
        <v/>
      </c>
      <c r="E31" s="125" t="n"/>
      <c r="F31" s="106" t="n"/>
      <c r="G31" s="106" t="n"/>
      <c r="H31" s="106" t="n"/>
      <c r="I31" s="106" t="n"/>
      <c r="J31" s="106" t="n"/>
    </row>
    <row r="32" ht="15" customHeight="1" s="67">
      <c r="A32" s="105" t="inlineStr">
        <is>
          <t>X_AM</t>
        </is>
      </c>
      <c r="B32" s="105">
        <f>COUNTIF(B6:P6,"X_AM")+COUNTIF(B12:R12,"X_AM")</f>
        <v/>
      </c>
      <c r="C32" s="105">
        <f>B32*8</f>
        <v/>
      </c>
      <c r="D32" s="105">
        <f>B32*2</f>
        <v/>
      </c>
      <c r="E32" s="126" t="n"/>
      <c r="F32" s="106" t="n"/>
      <c r="G32" s="106" t="n"/>
      <c r="H32" s="106" t="n"/>
      <c r="I32" s="106" t="n"/>
      <c r="J32" s="106" t="n"/>
    </row>
    <row r="33" ht="15" customHeight="1" s="67">
      <c r="A33" s="105" t="inlineStr">
        <is>
          <t>X_PM</t>
        </is>
      </c>
      <c r="B33" s="105">
        <f>COUNTIF(B6:P6,"X_PM")+COUNTIF(B12:R12,"X_PM")</f>
        <v/>
      </c>
      <c r="C33" s="105">
        <f>B33*8</f>
        <v/>
      </c>
      <c r="D33" s="105">
        <f>B33*2</f>
        <v/>
      </c>
      <c r="E33" s="126" t="n"/>
      <c r="F33" s="106" t="n"/>
      <c r="G33" s="106" t="n"/>
      <c r="H33" s="106" t="n"/>
      <c r="I33" s="106" t="n"/>
      <c r="J33" s="106" t="n"/>
    </row>
    <row r="34" ht="15" customHeight="1" s="67">
      <c r="A34" s="105" t="inlineStr">
        <is>
          <t>X_10</t>
        </is>
      </c>
      <c r="B34" s="105">
        <f>COUNTIF(B6:P6,"X_10")+COUNTIF(B12:R12,"X_10")</f>
        <v/>
      </c>
      <c r="C34" s="105">
        <f>B34*8</f>
        <v/>
      </c>
      <c r="D34" s="105" t="n">
        <v>0</v>
      </c>
      <c r="E34" s="127" t="n"/>
      <c r="F34" s="106" t="n"/>
      <c r="G34" s="106" t="n"/>
      <c r="H34" s="106" t="n"/>
      <c r="I34" s="106" t="n"/>
      <c r="J34" s="106" t="n"/>
    </row>
    <row r="35" ht="15" customHeight="1" s="67">
      <c r="A35" s="105" t="inlineStr">
        <is>
          <t>AG</t>
        </is>
      </c>
      <c r="B35" s="105">
        <f>COUNTIF(B6:P6,"AG")+COUNTIF(B12:R12,"AG")</f>
        <v/>
      </c>
      <c r="C35" s="105">
        <f>B35*8</f>
        <v/>
      </c>
      <c r="D35" s="105" t="n">
        <v>0</v>
      </c>
      <c r="E35" s="128" t="n"/>
      <c r="F35" s="106" t="n"/>
      <c r="G35" s="106" t="n"/>
      <c r="H35" s="106" t="n"/>
      <c r="I35" s="106" t="n"/>
      <c r="J35" s="106" t="n"/>
    </row>
    <row r="36" ht="15" customHeight="1" s="67">
      <c r="A36" s="129" t="inlineStr">
        <is>
          <t>TOTAL</t>
        </is>
      </c>
      <c r="B36" s="129">
        <f>SUM(B17:B35)</f>
        <v/>
      </c>
      <c r="C36" s="129">
        <f>SUM(C17:C35)</f>
        <v/>
      </c>
      <c r="D36" s="129">
        <f>SUM(D17:D35)</f>
        <v/>
      </c>
      <c r="E36" s="129" t="n"/>
      <c r="F36" s="106" t="n"/>
      <c r="G36" s="106" t="n"/>
      <c r="H36" s="106" t="n"/>
      <c r="I36" s="106" t="n"/>
      <c r="J36" s="106" t="n"/>
    </row>
    <row r="37" ht="15" customHeight="1" s="67">
      <c r="A37" s="130" t="n"/>
      <c r="B37" s="130" t="n"/>
      <c r="C37" s="130" t="n"/>
      <c r="D37" s="130" t="n"/>
      <c r="E37" s="130" t="n"/>
      <c r="F37" s="106" t="n"/>
      <c r="G37" s="106" t="n"/>
      <c r="H37" s="106" t="n"/>
      <c r="I37" s="106" t="n"/>
      <c r="J37" s="106" t="n"/>
    </row>
    <row r="38" ht="15" customHeight="1" s="67">
      <c r="A38" s="104" t="inlineStr">
        <is>
          <t>REPOS</t>
        </is>
      </c>
      <c r="B38" s="104" t="inlineStr">
        <is>
          <t>Jours</t>
        </is>
      </c>
      <c r="C38" s="104" t="inlineStr">
        <is>
          <t>H. Totales</t>
        </is>
      </c>
      <c r="D38" s="104" t="inlineStr">
        <is>
          <t>H. Nuit</t>
        </is>
      </c>
      <c r="E38" s="104" t="inlineStr">
        <is>
          <t>Couleur</t>
        </is>
      </c>
      <c r="F38" s="106" t="n"/>
      <c r="G38" s="106" t="n"/>
      <c r="H38" s="106" t="n"/>
      <c r="I38" s="106" t="n"/>
      <c r="J38" s="106" t="n"/>
    </row>
    <row r="39" ht="15" customHeight="1" s="67">
      <c r="A39" s="105" t="inlineStr">
        <is>
          <t>CN</t>
        </is>
      </c>
      <c r="B39" s="105">
        <f>COUNTIF(B6:P6,"CN")+COUNTIF(B12:R12,"CN")</f>
        <v/>
      </c>
      <c r="C39" s="105">
        <f>B39*8</f>
        <v/>
      </c>
      <c r="D39" s="105" t="n">
        <v>0</v>
      </c>
      <c r="E39" s="131" t="n"/>
      <c r="F39" s="106" t="n"/>
      <c r="G39" s="106" t="n"/>
      <c r="H39" s="106" t="n"/>
      <c r="I39" s="106" t="n"/>
      <c r="J39" s="106" t="n"/>
    </row>
    <row r="40" ht="15" customHeight="1" s="67">
      <c r="A40" s="105" t="inlineStr">
        <is>
          <t>JC</t>
        </is>
      </c>
      <c r="B40" s="105">
        <f>COUNTIF(B6:P6,"JC")+COUNTIF(B12:R12,"JC")</f>
        <v/>
      </c>
      <c r="C40" s="105">
        <f>B40*8</f>
        <v/>
      </c>
      <c r="D40" s="105" t="n">
        <v>0</v>
      </c>
      <c r="E40" s="131" t="n"/>
      <c r="F40" s="106" t="n"/>
      <c r="G40" s="106" t="n"/>
      <c r="H40" s="106" t="n"/>
      <c r="I40" s="106" t="n"/>
      <c r="J40" s="106" t="n"/>
    </row>
    <row r="41" ht="15" customHeight="1" s="67">
      <c r="A41" s="105" t="inlineStr">
        <is>
          <t>RH</t>
        </is>
      </c>
      <c r="B41" s="105">
        <f>COUNTIF(B6:P6,"RH")+COUNTIF(B12:R12,"RH")</f>
        <v/>
      </c>
      <c r="C41" s="105" t="n">
        <v>0</v>
      </c>
      <c r="D41" s="105" t="n">
        <v>0</v>
      </c>
      <c r="E41" s="132" t="n"/>
      <c r="F41" s="106" t="n"/>
      <c r="G41" s="106" t="n"/>
      <c r="H41" s="106" t="n"/>
      <c r="I41" s="106" t="n"/>
      <c r="J41" s="106" t="n"/>
    </row>
    <row r="42" ht="15" customHeight="1" s="67">
      <c r="A42" s="105" t="inlineStr">
        <is>
          <t>CH</t>
        </is>
      </c>
      <c r="B42" s="105">
        <f>COUNTIF(B6:P6,"CH")+COUNTIF(B12:R12,"CH")</f>
        <v/>
      </c>
      <c r="C42" s="105" t="n">
        <v>0</v>
      </c>
      <c r="D42" s="105" t="n">
        <v>0</v>
      </c>
      <c r="E42" s="133" t="n"/>
      <c r="F42" s="106" t="n"/>
      <c r="G42" s="106" t="n"/>
      <c r="H42" s="106" t="n"/>
      <c r="I42" s="106" t="n"/>
      <c r="J42" s="106" t="n"/>
    </row>
    <row r="43" ht="15" customHeight="1" s="67">
      <c r="A43" s="105" t="inlineStr">
        <is>
          <t>RR</t>
        </is>
      </c>
      <c r="B43" s="105">
        <f>COUNTIF(B6:P6,"RR")+COUNTIF(B12:R12,"RR")</f>
        <v/>
      </c>
      <c r="C43" s="105">
        <f>B43*8</f>
        <v/>
      </c>
      <c r="D43" s="105" t="n">
        <v>0</v>
      </c>
      <c r="E43" s="134" t="n"/>
      <c r="F43" s="106" t="n"/>
      <c r="G43" s="106" t="n"/>
      <c r="H43" s="106" t="n"/>
      <c r="I43" s="106" t="n"/>
      <c r="J43" s="106" t="n"/>
    </row>
    <row r="44">
      <c r="A44" s="105" t="inlineStr">
        <is>
          <t>CV</t>
        </is>
      </c>
      <c r="B44" s="105">
        <f>COUNTIF(B6:P6,"CV")+COUNTIF(B12:R12,"CV")</f>
        <v/>
      </c>
      <c r="C44" s="105">
        <f>B44*8</f>
        <v/>
      </c>
      <c r="D44" s="105" t="n">
        <v>0</v>
      </c>
      <c r="E44" s="135" t="n"/>
      <c r="F44" s="106" t="n"/>
      <c r="G44" s="106" t="n"/>
      <c r="H44" s="106" t="n"/>
      <c r="I44" s="106" t="n"/>
      <c r="J44" s="106" t="n"/>
    </row>
    <row r="45" ht="15" customHeight="1" s="67">
      <c r="A45" s="105" t="inlineStr">
        <is>
          <t>ZM</t>
        </is>
      </c>
      <c r="B45" s="105">
        <f>COUNTIF(B6:P6,"ZM")+COUNTIF(B12:R12,"ZM")</f>
        <v/>
      </c>
      <c r="C45" s="105">
        <f>B45*8</f>
        <v/>
      </c>
      <c r="D45" s="105" t="n">
        <v>0</v>
      </c>
      <c r="E45" s="136" t="n"/>
      <c r="F45" s="106" t="n"/>
      <c r="G45" s="106" t="n"/>
      <c r="H45" s="106" t="n"/>
      <c r="I45" s="106" t="n"/>
      <c r="J45" s="106" t="n"/>
    </row>
    <row r="46">
      <c r="A46" s="129" t="inlineStr">
        <is>
          <t>TOTAL</t>
        </is>
      </c>
      <c r="B46" s="129">
        <f>SUM(B39:B45)</f>
        <v/>
      </c>
      <c r="C46" s="129">
        <f>SUM(C39:C45)</f>
        <v/>
      </c>
      <c r="D46" s="129">
        <f>SUM(D39:D45)</f>
        <v/>
      </c>
      <c r="E46" s="129" t="n"/>
      <c r="F46" s="106" t="n"/>
      <c r="G46" s="106" t="n"/>
      <c r="H46" s="106" t="n"/>
      <c r="I46" s="106" t="n"/>
      <c r="J46" s="106" t="n"/>
    </row>
    <row r="47" ht="15" customHeight="1" s="67">
      <c r="A47" s="130" t="n"/>
      <c r="B47" s="130" t="n"/>
      <c r="C47" s="130" t="n"/>
      <c r="D47" s="130" t="n"/>
      <c r="E47" s="106" t="n"/>
      <c r="F47" s="106" t="n"/>
      <c r="G47" s="106" t="n"/>
      <c r="H47" s="106" t="n"/>
      <c r="I47" s="106" t="n"/>
      <c r="J47" s="106" t="n"/>
    </row>
    <row r="48" ht="15" customHeight="1" s="67">
      <c r="A48" s="137" t="inlineStr">
        <is>
          <t>Total Heures</t>
        </is>
      </c>
      <c r="B48" s="130" t="n"/>
      <c r="C48" s="137">
        <f>C36+C46</f>
        <v/>
      </c>
      <c r="D48" s="130" t="n"/>
      <c r="E48" s="106" t="n"/>
      <c r="F48" s="106" t="n"/>
      <c r="G48" s="106" t="n"/>
      <c r="H48" s="106" t="n"/>
      <c r="I48" s="106" t="n"/>
      <c r="J48" s="106" t="n"/>
    </row>
    <row r="49" ht="15" customHeight="1" s="67">
      <c r="A49" s="130" t="n"/>
      <c r="B49" s="130" t="n"/>
      <c r="C49" s="130" t="n"/>
      <c r="D49" s="130" t="n"/>
      <c r="E49" s="106" t="n"/>
      <c r="F49" s="106" t="n"/>
      <c r="G49" s="106" t="n"/>
      <c r="H49" s="106" t="n"/>
      <c r="I49" s="106" t="n"/>
      <c r="J49" s="106" t="n"/>
    </row>
    <row r="50" ht="15" customHeight="1" s="67">
      <c r="A50" s="130" t="n"/>
      <c r="B50" s="130" t="n"/>
      <c r="C50" s="130" t="n"/>
      <c r="D50" s="130" t="n"/>
      <c r="E50" s="106" t="n"/>
      <c r="F50" s="106" t="n"/>
      <c r="G50" s="106" t="n"/>
      <c r="H50" s="106" t="n"/>
      <c r="I50" s="106" t="n"/>
      <c r="J50" s="106" t="n"/>
    </row>
    <row r="51" ht="15" customHeight="1" s="67">
      <c r="A51" s="130" t="n"/>
      <c r="B51" s="130" t="n"/>
      <c r="C51" s="130" t="n"/>
      <c r="D51" s="130" t="n"/>
      <c r="E51" s="106" t="n"/>
      <c r="F51" s="106" t="n"/>
      <c r="G51" s="106" t="n"/>
      <c r="H51" s="106" t="n"/>
      <c r="I51" s="106" t="n"/>
      <c r="J51" s="106" t="n"/>
    </row>
    <row r="52">
      <c r="A52" s="138" t="inlineStr">
        <is>
          <t>CONTRÔLES PAR PÉRIODE - FÉVRIER</t>
        </is>
      </c>
      <c r="B52" s="106" t="n"/>
      <c r="C52" s="106" t="n"/>
      <c r="D52" s="106" t="n"/>
      <c r="E52" s="106" t="n"/>
      <c r="F52" s="106" t="n"/>
      <c r="G52" s="106" t="n"/>
      <c r="H52" s="106" t="n"/>
      <c r="I52" s="106" t="n"/>
      <c r="J52" s="106" t="n"/>
    </row>
    <row r="53" ht="15" customHeight="1" s="67">
      <c r="A53" s="130" t="n"/>
      <c r="B53" s="106" t="n"/>
      <c r="C53" s="106" t="n"/>
      <c r="D53" s="106" t="n"/>
      <c r="E53" s="106" t="n"/>
      <c r="F53" s="106" t="n"/>
      <c r="G53" s="106" t="n"/>
      <c r="H53" s="106" t="n"/>
      <c r="I53" s="106" t="n"/>
      <c r="J53" s="106" t="n"/>
    </row>
    <row r="54">
      <c r="A54" s="104" t="inlineStr">
        <is>
          <t>Période</t>
        </is>
      </c>
      <c r="B54" s="104" t="inlineStr">
        <is>
          <t>Heures</t>
        </is>
      </c>
      <c r="C54" s="104" t="inlineStr">
        <is>
          <t>CH</t>
        </is>
      </c>
      <c r="D54" s="104" t="inlineStr">
        <is>
          <t>RH</t>
        </is>
      </c>
      <c r="E54" s="104" t="inlineStr">
        <is>
          <t>CV</t>
        </is>
      </c>
      <c r="F54" s="104" t="inlineStr">
        <is>
          <t>RR</t>
        </is>
      </c>
      <c r="G54" s="104" t="inlineStr">
        <is>
          <t>Férié Trav.</t>
        </is>
      </c>
      <c r="H54" s="104" t="inlineStr">
        <is>
          <t>Statut</t>
        </is>
      </c>
      <c r="I54" s="106" t="n"/>
      <c r="J54" s="106" t="n"/>
    </row>
    <row r="55" ht="15" customHeight="1" s="67">
      <c r="A55" s="105" t="inlineStr">
        <is>
          <t>P1</t>
        </is>
      </c>
      <c r="B55" s="105">
        <f>(COUNTIF('Janvier'!M6:P6,"101") + COUNTIF('Janvier'!B12:Q12,"101") + COUNTIF('Février'!B6:I6,"101") + COUNTIF('Janvier'!M6:P6,"102") + COUNTIF('Janvier'!B12:Q12,"102") + COUNTIF('Février'!B6:I6,"102") + COUNTIF('Janvier'!M6:P6,"111") + COUNTIF('Janvier'!B12:Q12,"111") + COUNTIF('Février'!B6:I6,"111") + COUNTIF('Janvier'!M6:P6,"112") + COUNTIF('Janvier'!B12:Q12,"112") + COUNTIF('Février'!B6:I6,"112") + COUNTIF('Janvier'!M6:P6,"121") + COUNTIF('Janvier'!B12:Q12,"121") + COUNTIF('Février'!B6:I6,"121") + COUNTIF('Janvier'!M6:P6,"6101") + COUNTIF('Janvier'!B12:Q12,"6101") + COUNTIF('Février'!B6:I6,"6101") + COUNTIF('Janvier'!M6:P6,"6102") + COUNTIF('Janvier'!B12:Q12,"6102") + COUNTIF('Février'!B6:I6,"6102") + COUNTIF('Janvier'!M6:P6,"6111") + COUNTIF('Janvier'!B12:Q12,"6111") + COUNTIF('Février'!B6:I6,"6111") + COUNTIF('Janvier'!M6:P6,"6112") + COUNTIF('Janvier'!B12:Q12,"6112") + COUNTIF('Février'!B6:I6,"6112") + COUNTIF('Janvier'!M6:P6,"6121") + COUNTIF('Janvier'!B12:Q12,"6121") + COUNTIF('Février'!B6:I6,"6121") + COUNTIF('Janvier'!M6:P6,"7101") + COUNTIF('Janvier'!B12:Q12,"7101") + COUNTIF('Février'!B6:I6,"7101") + COUNTIF('Janvier'!M6:P6,"7102") + COUNTIF('Janvier'!B12:Q12,"7102") + COUNTIF('Février'!B6:I6,"7102") + COUNTIF('Janvier'!M6:P6,"7111") + COUNTIF('Janvier'!B12:Q12,"7111") + COUNTIF('Février'!B6:I6,"7111") + COUNTIF('Janvier'!M6:P6,"7112") + COUNTIF('Janvier'!B12:Q12,"7112") + COUNTIF('Février'!B6:I6,"7112") + COUNTIF('Janvier'!M6:P6,"7121") + COUNTIF('Janvier'!B12:Q12,"7121") + COUNTIF('Février'!B6:I6,"7121") + COUNTIF('Janvier'!M6:P6,"X_AM") + COUNTIF('Janvier'!B12:Q12,"X_AM") + COUNTIF('Février'!B6:I6,"X_AM") + COUNTIF('Janvier'!M6:P6,"X_PM") + COUNTIF('Janvier'!B12:Q12,"X_PM") + COUNTIF('Février'!B6:I6,"X_PM") + COUNTIF('Janvier'!M6:P6,"X_10") + COUNTIF('Janvier'!B12:Q12,"X_10") + COUNTIF('Février'!B6:I6,"X_10") + COUNTIF('Janvier'!M6:P6,"AG") + COUNTIF('Janvier'!B12:Q12,"AG") + COUNTIF('Février'!B6:I6,"AG") + COUNTIF('Janvier'!M6:P6,"CN") + COUNTIF('Janvier'!B12:Q12,"CN") + COUNTIF('Février'!B6:I6,"CN") + COUNTIF('Janvier'!M6:P6,"JC") + COUNTIF('Janvier'!B12:Q12,"JC") + COUNTIF('Février'!B6:I6,"JC") + COUNTIF('Janvier'!M6:P6,"RR") + COUNTIF('Janvier'!B12:Q12,"RR") + COUNTIF('Février'!B6:I6,"RR") + COUNTIF('Janvier'!M6:P6,"ZM") + COUNTIF('Janvier'!B12:Q12,"ZM") + COUNTIF('Février'!B6:I6,"ZM") + COUNTIF('Janvier'!M6:P6,"CV") + COUNTIF('Janvier'!B12:Q12,"CV") + COUNTIF('Février'!B6:I6,"CV"))*8</f>
        <v/>
      </c>
      <c r="C55" s="105">
        <f>COUNTIF('Janvier'!M6:P6,"CH")+COUNTIF('Janvier'!B12:Q12,"CH")+COUNTIF('Février'!B6:I6,"CH")</f>
        <v/>
      </c>
      <c r="D55" s="105">
        <f>COUNTIF('Janvier'!M6:P6,"RH")+COUNTIF('Janvier'!B12:Q12,"RH")+COUNTIF('Février'!B6:I6,"RH")</f>
        <v/>
      </c>
      <c r="E55" s="105">
        <f>COUNTIF('Janvier'!M6:P6,"CV")+COUNTIF('Janvier'!B12:Q12,"CV")+COUNTIF('Février'!B6:I6,"CV")</f>
        <v/>
      </c>
      <c r="F55" s="105">
        <f>COUNTIF('Janvier'!M6:P6,"RR")+COUNTIF('Janvier'!B12:Q12,"RR")+COUNTIF('Février'!B6:I6,"RR")</f>
        <v/>
      </c>
      <c r="G55" s="105" t="n">
        <v>0</v>
      </c>
      <c r="H55" s="105">
        <f>IF(B55&gt;160,"⚠ &gt;160h",IF(C55&lt;&gt;4,"⚠ CH≠4",IF(D55&lt;&gt;4,"⚠ RH≠4",IF(E55&lt;&gt;1,"⚠ CV≠1",IF(AND(G55&gt;0,F55=0),"⚠ RR manquant","✓ OK")))))</f>
        <v/>
      </c>
      <c r="I55" s="106" t="n"/>
      <c r="J55" s="106" t="n"/>
    </row>
    <row r="56" ht="15" customHeight="1" s="67">
      <c r="A56" s="105" t="inlineStr">
        <is>
          <t>P2</t>
        </is>
      </c>
      <c r="B56" s="105">
        <f>(COUNTIF('Février'!J6:P6,"101") + COUNTIF('Février'!B12:N12,"101") + COUNTIF('Mars'!B6:I6,"101") + COUNTIF('Février'!J6:P6,"102") + COUNTIF('Février'!B12:N12,"102") + COUNTIF('Mars'!B6:I6,"102") + COUNTIF('Février'!J6:P6,"111") + COUNTIF('Février'!B12:N12,"111") + COUNTIF('Mars'!B6:I6,"111") + COUNTIF('Février'!J6:P6,"112") + COUNTIF('Février'!B12:N12,"112") + COUNTIF('Mars'!B6:I6,"112") + COUNTIF('Février'!J6:P6,"121") + COUNTIF('Février'!B12:N12,"121") + COUNTIF('Mars'!B6:I6,"121") + COUNTIF('Février'!J6:P6,"6101") + COUNTIF('Février'!B12:N12,"6101") + COUNTIF('Mars'!B6:I6,"6101") + COUNTIF('Février'!J6:P6,"6102") + COUNTIF('Février'!B12:N12,"6102") + COUNTIF('Mars'!B6:I6,"6102") + COUNTIF('Février'!J6:P6,"6111") + COUNTIF('Février'!B12:N12,"6111") + COUNTIF('Mars'!B6:I6,"6111") + COUNTIF('Février'!J6:P6,"6112") + COUNTIF('Février'!B12:N12,"6112") + COUNTIF('Mars'!B6:I6,"6112") + COUNTIF('Février'!J6:P6,"6121") + COUNTIF('Février'!B12:N12,"6121") + COUNTIF('Mars'!B6:I6,"6121") + COUNTIF('Février'!J6:P6,"7101") + COUNTIF('Février'!B12:N12,"7101") + COUNTIF('Mars'!B6:I6,"7101") + COUNTIF('Février'!J6:P6,"7102") + COUNTIF('Février'!B12:N12,"7102") + COUNTIF('Mars'!B6:I6,"7102") + COUNTIF('Février'!J6:P6,"7111") + COUNTIF('Février'!B12:N12,"7111") + COUNTIF('Mars'!B6:I6,"7111") + COUNTIF('Février'!J6:P6,"7112") + COUNTIF('Février'!B12:N12,"7112") + COUNTIF('Mars'!B6:I6,"7112") + COUNTIF('Février'!J6:P6,"7121") + COUNTIF('Février'!B12:N12,"7121") + COUNTIF('Mars'!B6:I6,"7121") + COUNTIF('Février'!J6:P6,"X_AM") + COUNTIF('Février'!B12:N12,"X_AM") + COUNTIF('Mars'!B6:I6,"X_AM") + COUNTIF('Février'!J6:P6,"X_PM") + COUNTIF('Février'!B12:N12,"X_PM") + COUNTIF('Mars'!B6:I6,"X_PM") + COUNTIF('Février'!J6:P6,"X_10") + COUNTIF('Février'!B12:N12,"X_10") + COUNTIF('Mars'!B6:I6,"X_10") + COUNTIF('Février'!J6:P6,"AG") + COUNTIF('Février'!B12:N12,"AG") + COUNTIF('Mars'!B6:I6,"AG") + COUNTIF('Février'!J6:P6,"CN") + COUNTIF('Février'!B12:N12,"CN") + COUNTIF('Mars'!B6:I6,"CN") + COUNTIF('Février'!J6:P6,"JC") + COUNTIF('Février'!B12:N12,"JC") + COUNTIF('Mars'!B6:I6,"JC") + COUNTIF('Février'!J6:P6,"RR") + COUNTIF('Février'!B12:N12,"RR") + COUNTIF('Mars'!B6:I6,"RR") + COUNTIF('Février'!J6:P6,"ZM") + COUNTIF('Février'!B12:N12,"ZM") + COUNTIF('Mars'!B6:I6,"ZM") + COUNTIF('Février'!J6:P6,"CV") + COUNTIF('Février'!B12:N12,"CV") + COUNTIF('Mars'!B6:I6,"CV"))*8</f>
        <v/>
      </c>
      <c r="C56" s="105">
        <f>COUNTIF('Février'!J6:P6,"CH")+COUNTIF('Février'!B12:N12,"CH")+COUNTIF('Mars'!B6:I6,"CH")</f>
        <v/>
      </c>
      <c r="D56" s="105">
        <f>COUNTIF('Février'!J6:P6,"RH")+COUNTIF('Février'!B12:N12,"RH")+COUNTIF('Mars'!B6:I6,"RH")</f>
        <v/>
      </c>
      <c r="E56" s="105">
        <f>COUNTIF('Février'!J6:P6,"CV")+COUNTIF('Février'!B12:N12,"CV")+COUNTIF('Mars'!B6:I6,"CV")</f>
        <v/>
      </c>
      <c r="F56" s="105">
        <f>COUNTIF('Février'!J6:P6,"RR")+COUNTIF('Février'!B12:N12,"RR")+COUNTIF('Mars'!B6:I6,"RR")</f>
        <v/>
      </c>
      <c r="G56" s="105" t="n">
        <v>0</v>
      </c>
      <c r="H56" s="105">
        <f>IF(B56&gt;160,"⚠ &gt;160h",IF(C56&lt;&gt;4,"⚠ CH≠4",IF(D56&lt;&gt;4,"⚠ RH≠4",IF(E56&lt;&gt;1,"⚠ CV≠1",IF(AND(G56&gt;0,F56=0),"⚠ RR manquant","✓ OK")))))</f>
        <v/>
      </c>
      <c r="I56" s="106" t="n"/>
      <c r="J56" s="106" t="n"/>
    </row>
    <row r="57" ht="15" customHeight="1" s="67">
      <c r="A57" s="130" t="n"/>
      <c r="B57" s="130" t="n"/>
      <c r="C57" s="130" t="n"/>
      <c r="D57" s="130" t="n"/>
      <c r="E57" s="106" t="n"/>
      <c r="F57" s="106" t="n"/>
      <c r="G57" s="106" t="n"/>
      <c r="H57" s="106" t="n"/>
      <c r="I57" s="106" t="n"/>
      <c r="J57" s="106" t="n"/>
    </row>
    <row r="58">
      <c r="A58" s="106" t="n"/>
      <c r="B58" s="106" t="n"/>
      <c r="C58" s="106" t="n"/>
      <c r="D58" s="106" t="n"/>
      <c r="E58" s="106" t="n"/>
      <c r="F58" s="106" t="n"/>
      <c r="G58" s="106" t="n"/>
      <c r="H58" s="106" t="n"/>
      <c r="I58" s="106" t="n"/>
      <c r="J58" s="106" t="n"/>
    </row>
    <row r="59">
      <c r="A59" s="106" t="n"/>
      <c r="B59" s="106" t="n"/>
      <c r="C59" s="106" t="n"/>
      <c r="D59" s="106" t="n"/>
      <c r="E59" s="106" t="n"/>
      <c r="F59" s="106" t="n"/>
      <c r="G59" s="106" t="n"/>
      <c r="H59" s="106" t="n"/>
      <c r="I59" s="106" t="n"/>
      <c r="J59" s="106" t="n"/>
    </row>
    <row r="60">
      <c r="A60" s="106" t="n"/>
      <c r="B60" s="106" t="n"/>
      <c r="C60" s="106" t="n"/>
      <c r="D60" s="106" t="n"/>
      <c r="E60" s="106" t="n"/>
      <c r="F60" s="106" t="n"/>
      <c r="G60" s="106" t="n"/>
      <c r="H60" s="106" t="n"/>
      <c r="I60" s="106" t="n"/>
      <c r="J60" s="106" t="n"/>
    </row>
    <row r="61">
      <c r="A61" s="106" t="n"/>
      <c r="B61" s="106" t="n"/>
      <c r="C61" s="106" t="n"/>
      <c r="D61" s="106" t="n"/>
      <c r="E61" s="106" t="n"/>
      <c r="F61" s="106" t="n"/>
      <c r="G61" s="106" t="n"/>
      <c r="H61" s="106" t="n"/>
      <c r="I61" s="106" t="n"/>
      <c r="J61" s="106" t="n"/>
    </row>
    <row r="62">
      <c r="A62" s="106" t="n"/>
      <c r="B62" s="106" t="n"/>
      <c r="C62" s="106" t="n"/>
      <c r="D62" s="106" t="n"/>
      <c r="E62" s="106" t="n"/>
      <c r="F62" s="106" t="n"/>
      <c r="G62" s="106" t="n"/>
      <c r="H62" s="106" t="n"/>
      <c r="I62" s="106" t="n"/>
      <c r="J62" s="106" t="n"/>
    </row>
    <row r="63">
      <c r="A63" s="106" t="n"/>
      <c r="B63" s="106" t="n"/>
      <c r="C63" s="106" t="n"/>
      <c r="D63" s="106" t="n"/>
      <c r="E63" s="106" t="n"/>
      <c r="F63" s="106" t="n"/>
      <c r="G63" s="106" t="n"/>
      <c r="H63" s="106" t="n"/>
      <c r="I63" s="106" t="n"/>
      <c r="J63" s="106" t="n"/>
    </row>
    <row r="64">
      <c r="A64" s="106" t="n"/>
      <c r="B64" s="106" t="n"/>
      <c r="C64" s="106" t="n"/>
      <c r="D64" s="106" t="n"/>
      <c r="E64" s="106" t="n"/>
      <c r="F64" s="106" t="n"/>
      <c r="G64" s="106" t="n"/>
      <c r="H64" s="106" t="n"/>
      <c r="I64" s="106" t="n"/>
      <c r="J64" s="106" t="n"/>
    </row>
    <row r="65">
      <c r="A65" s="106" t="n"/>
      <c r="B65" s="106" t="n"/>
      <c r="C65" s="106" t="n"/>
      <c r="D65" s="106" t="n"/>
      <c r="E65" s="106" t="n"/>
      <c r="F65" s="106" t="n"/>
      <c r="G65" s="106" t="n"/>
      <c r="H65" s="106" t="n"/>
      <c r="I65" s="106" t="n"/>
      <c r="J65" s="106" t="n"/>
    </row>
    <row r="66">
      <c r="A66" s="106" t="n"/>
      <c r="B66" s="106" t="n"/>
      <c r="C66" s="106" t="n"/>
      <c r="D66" s="106" t="n"/>
      <c r="E66" s="106" t="n"/>
      <c r="F66" s="106" t="n"/>
      <c r="G66" s="106" t="n"/>
      <c r="H66" s="106" t="n"/>
      <c r="I66" s="106" t="n"/>
      <c r="J66" s="106" t="n"/>
    </row>
    <row r="67">
      <c r="A67" s="106" t="n"/>
      <c r="B67" s="106" t="n"/>
      <c r="C67" s="106" t="n"/>
      <c r="D67" s="106" t="n"/>
      <c r="E67" s="106" t="n"/>
      <c r="F67" s="106" t="n"/>
      <c r="G67" s="106" t="n"/>
      <c r="H67" s="106" t="n"/>
      <c r="I67" s="106" t="n"/>
      <c r="J67" s="106" t="n"/>
    </row>
    <row r="68">
      <c r="A68" s="106" t="n"/>
      <c r="B68" s="106" t="n"/>
      <c r="C68" s="106" t="n"/>
      <c r="D68" s="106" t="n"/>
      <c r="E68" s="106" t="n"/>
      <c r="F68" s="106" t="n"/>
      <c r="G68" s="106" t="n"/>
      <c r="H68" s="106" t="n"/>
      <c r="I68" s="106" t="n"/>
      <c r="J68" s="106" t="n"/>
    </row>
    <row r="69">
      <c r="A69" s="106" t="n"/>
      <c r="B69" s="106" t="n"/>
      <c r="C69" s="106" t="n"/>
      <c r="D69" s="106" t="n"/>
      <c r="E69" s="106" t="n"/>
      <c r="F69" s="106" t="n"/>
      <c r="G69" s="106" t="n"/>
      <c r="H69" s="106" t="n"/>
      <c r="I69" s="106" t="n"/>
      <c r="J69" s="106" t="n"/>
    </row>
    <row r="70">
      <c r="A70" s="106" t="n"/>
      <c r="B70" s="106" t="n"/>
      <c r="C70" s="106" t="n"/>
      <c r="D70" s="106" t="n"/>
      <c r="E70" s="106" t="n"/>
      <c r="F70" s="106" t="n"/>
      <c r="G70" s="106" t="n"/>
      <c r="H70" s="106" t="n"/>
      <c r="I70" s="106" t="n"/>
      <c r="J70" s="106" t="n"/>
    </row>
    <row r="71">
      <c r="A71" s="106" t="n"/>
      <c r="B71" s="106" t="n"/>
      <c r="C71" s="106" t="n"/>
      <c r="D71" s="106" t="n"/>
      <c r="E71" s="106" t="n"/>
      <c r="F71" s="106" t="n"/>
      <c r="G71" s="106" t="n"/>
      <c r="H71" s="106" t="n"/>
      <c r="I71" s="106" t="n"/>
      <c r="J71" s="106" t="n"/>
    </row>
    <row r="72">
      <c r="A72" s="106" t="n"/>
      <c r="B72" s="106" t="n"/>
      <c r="C72" s="106" t="n"/>
      <c r="D72" s="106" t="n"/>
      <c r="E72" s="106" t="n"/>
      <c r="F72" s="106" t="n"/>
      <c r="G72" s="106" t="n"/>
      <c r="H72" s="106" t="n"/>
      <c r="I72" s="106" t="n"/>
      <c r="J72" s="106" t="n"/>
    </row>
    <row r="73">
      <c r="A73" s="106" t="n"/>
      <c r="B73" s="106" t="n"/>
      <c r="C73" s="106" t="n"/>
      <c r="D73" s="106" t="n"/>
      <c r="E73" s="106" t="n"/>
      <c r="F73" s="106" t="n"/>
      <c r="G73" s="106" t="n"/>
      <c r="H73" s="106" t="n"/>
      <c r="I73" s="106" t="n"/>
      <c r="J73" s="106" t="n"/>
    </row>
    <row r="74">
      <c r="A74" s="106" t="n"/>
      <c r="B74" s="106" t="n"/>
      <c r="C74" s="106" t="n"/>
      <c r="D74" s="106" t="n"/>
      <c r="E74" s="106" t="n"/>
      <c r="F74" s="106" t="n"/>
      <c r="G74" s="106" t="n"/>
      <c r="H74" s="106" t="n"/>
      <c r="I74" s="106" t="n"/>
      <c r="J74" s="106" t="n"/>
    </row>
    <row r="75">
      <c r="A75" s="106" t="n"/>
      <c r="B75" s="106" t="n"/>
      <c r="C75" s="106" t="n"/>
      <c r="D75" s="106" t="n"/>
      <c r="E75" s="106" t="n"/>
      <c r="F75" s="106" t="n"/>
      <c r="G75" s="106" t="n"/>
      <c r="H75" s="106" t="n"/>
      <c r="I75" s="106" t="n"/>
      <c r="J75" s="106" t="n"/>
    </row>
    <row r="76">
      <c r="A76" s="106" t="n"/>
      <c r="B76" s="106" t="n"/>
      <c r="C76" s="106" t="n"/>
      <c r="D76" s="106" t="n"/>
      <c r="E76" s="106" t="n"/>
      <c r="F76" s="106" t="n"/>
      <c r="G76" s="106" t="n"/>
      <c r="H76" s="106" t="n"/>
      <c r="I76" s="106" t="n"/>
      <c r="J76" s="106" t="n"/>
    </row>
    <row r="77">
      <c r="A77" s="106" t="n"/>
      <c r="B77" s="106" t="n"/>
      <c r="C77" s="106" t="n"/>
      <c r="D77" s="106" t="n"/>
      <c r="E77" s="106" t="n"/>
      <c r="F77" s="106" t="n"/>
      <c r="G77" s="106" t="n"/>
      <c r="H77" s="106" t="n"/>
      <c r="I77" s="106" t="n"/>
      <c r="J77" s="106" t="n"/>
    </row>
    <row r="78">
      <c r="A78" s="106" t="n"/>
      <c r="B78" s="106" t="n"/>
      <c r="C78" s="106" t="n"/>
      <c r="D78" s="106" t="n"/>
      <c r="E78" s="106" t="n"/>
      <c r="F78" s="106" t="n"/>
      <c r="G78" s="106" t="n"/>
      <c r="H78" s="106" t="n"/>
      <c r="I78" s="106" t="n"/>
      <c r="J78" s="106" t="n"/>
    </row>
    <row r="79">
      <c r="A79" s="106" t="n"/>
      <c r="B79" s="106" t="n"/>
      <c r="C79" s="106" t="n"/>
      <c r="D79" s="106" t="n"/>
      <c r="E79" s="106" t="n"/>
      <c r="F79" s="106" t="n"/>
      <c r="G79" s="106" t="n"/>
      <c r="H79" s="106" t="n"/>
      <c r="I79" s="106" t="n"/>
      <c r="J79" s="106" t="n"/>
    </row>
    <row r="80">
      <c r="A80" s="106" t="n"/>
      <c r="B80" s="106" t="n"/>
      <c r="C80" s="106" t="n"/>
      <c r="D80" s="106" t="n"/>
      <c r="E80" s="106" t="n"/>
      <c r="F80" s="106" t="n"/>
      <c r="G80" s="106" t="n"/>
      <c r="H80" s="106" t="n"/>
      <c r="I80" s="106" t="n"/>
      <c r="J80" s="106" t="n"/>
    </row>
    <row r="81">
      <c r="A81" s="106" t="n"/>
      <c r="B81" s="106" t="n"/>
      <c r="C81" s="106" t="n"/>
      <c r="D81" s="106" t="n"/>
      <c r="E81" s="106" t="n"/>
      <c r="F81" s="106" t="n"/>
      <c r="G81" s="106" t="n"/>
      <c r="H81" s="106" t="n"/>
      <c r="I81" s="106" t="n"/>
      <c r="J81" s="106" t="n"/>
    </row>
    <row r="82">
      <c r="A82" s="106" t="n"/>
      <c r="B82" s="106" t="n"/>
      <c r="C82" s="106" t="n"/>
      <c r="D82" s="106" t="n"/>
      <c r="E82" s="106" t="n"/>
      <c r="F82" s="106" t="n"/>
      <c r="G82" s="106" t="n"/>
      <c r="H82" s="106" t="n"/>
      <c r="I82" s="106" t="n"/>
      <c r="J82" s="106" t="n"/>
    </row>
    <row r="83">
      <c r="A83" s="106" t="n"/>
      <c r="B83" s="106" t="n"/>
      <c r="C83" s="106" t="n"/>
      <c r="D83" s="106" t="n"/>
      <c r="E83" s="106" t="n"/>
      <c r="F83" s="106" t="n"/>
      <c r="G83" s="106" t="n"/>
      <c r="H83" s="106" t="n"/>
      <c r="I83" s="106" t="n"/>
      <c r="J83" s="106" t="n"/>
    </row>
    <row r="84">
      <c r="A84" s="106" t="n"/>
      <c r="B84" s="106" t="n"/>
      <c r="C84" s="106" t="n"/>
      <c r="D84" s="106" t="n"/>
      <c r="E84" s="106" t="n"/>
      <c r="F84" s="106" t="n"/>
      <c r="G84" s="106" t="n"/>
      <c r="H84" s="106" t="n"/>
      <c r="I84" s="106" t="n"/>
      <c r="J84" s="106" t="n"/>
    </row>
    <row r="85">
      <c r="A85" s="106" t="n"/>
      <c r="B85" s="106" t="n"/>
      <c r="C85" s="106" t="n"/>
      <c r="D85" s="106" t="n"/>
      <c r="E85" s="106" t="n"/>
      <c r="F85" s="106" t="n"/>
      <c r="G85" s="106" t="n"/>
      <c r="H85" s="106" t="n"/>
      <c r="I85" s="106" t="n"/>
      <c r="J85" s="106" t="n"/>
    </row>
    <row r="86">
      <c r="A86" s="106" t="n"/>
      <c r="B86" s="106" t="n"/>
      <c r="C86" s="106" t="n"/>
      <c r="D86" s="106" t="n"/>
      <c r="E86" s="106" t="n"/>
      <c r="F86" s="106" t="n"/>
      <c r="G86" s="106" t="n"/>
      <c r="H86" s="106" t="n"/>
      <c r="I86" s="106" t="n"/>
      <c r="J86" s="106" t="n"/>
    </row>
    <row r="87">
      <c r="A87" s="106" t="n"/>
      <c r="B87" s="106" t="n"/>
      <c r="C87" s="106" t="n"/>
      <c r="D87" s="106" t="n"/>
      <c r="E87" s="106" t="n"/>
      <c r="F87" s="106" t="n"/>
      <c r="G87" s="106" t="n"/>
      <c r="H87" s="106" t="n"/>
      <c r="I87" s="106" t="n"/>
      <c r="J87" s="106" t="n"/>
    </row>
    <row r="88">
      <c r="A88" s="106" t="n"/>
      <c r="B88" s="106" t="n"/>
      <c r="C88" s="106" t="n"/>
      <c r="D88" s="106" t="n"/>
      <c r="E88" s="106" t="n"/>
      <c r="F88" s="106" t="n"/>
      <c r="G88" s="106" t="n"/>
      <c r="H88" s="106" t="n"/>
      <c r="I88" s="106" t="n"/>
      <c r="J88" s="106" t="n"/>
    </row>
    <row r="89">
      <c r="A89" s="106" t="n"/>
      <c r="B89" s="106" t="n"/>
      <c r="C89" s="106" t="n"/>
      <c r="D89" s="106" t="n"/>
      <c r="E89" s="106" t="n"/>
      <c r="F89" s="106" t="n"/>
      <c r="G89" s="106" t="n"/>
      <c r="H89" s="106" t="n"/>
      <c r="I89" s="106" t="n"/>
      <c r="J89" s="106" t="n"/>
    </row>
    <row r="90">
      <c r="A90" s="106" t="n"/>
      <c r="B90" s="106" t="n"/>
      <c r="C90" s="106" t="n"/>
      <c r="D90" s="106" t="n"/>
      <c r="E90" s="106" t="n"/>
      <c r="F90" s="106" t="n"/>
      <c r="G90" s="106" t="n"/>
      <c r="H90" s="106" t="n"/>
      <c r="I90" s="106" t="n"/>
      <c r="J90" s="106" t="n"/>
    </row>
    <row r="91">
      <c r="A91" s="106" t="n"/>
      <c r="B91" s="106" t="n"/>
      <c r="C91" s="106" t="n"/>
      <c r="D91" s="106" t="n"/>
      <c r="E91" s="106" t="n"/>
      <c r="F91" s="106" t="n"/>
      <c r="G91" s="106" t="n"/>
      <c r="H91" s="106" t="n"/>
      <c r="I91" s="106" t="n"/>
      <c r="J91" s="106" t="n"/>
    </row>
    <row r="92">
      <c r="A92" s="106" t="n"/>
      <c r="B92" s="106" t="n"/>
      <c r="C92" s="106" t="n"/>
      <c r="D92" s="106" t="n"/>
      <c r="E92" s="106" t="n"/>
      <c r="F92" s="106" t="n"/>
      <c r="G92" s="106" t="n"/>
      <c r="H92" s="106" t="n"/>
      <c r="I92" s="106" t="n"/>
      <c r="J92" s="106" t="n"/>
    </row>
    <row r="93">
      <c r="A93" s="106" t="n"/>
      <c r="B93" s="106" t="n"/>
      <c r="C93" s="106" t="n"/>
      <c r="D93" s="106" t="n"/>
      <c r="E93" s="106" t="n"/>
      <c r="F93" s="106" t="n"/>
      <c r="G93" s="106" t="n"/>
      <c r="H93" s="106" t="n"/>
      <c r="I93" s="106" t="n"/>
      <c r="J93" s="106" t="n"/>
    </row>
    <row r="94">
      <c r="A94" s="106" t="n"/>
      <c r="B94" s="106" t="n"/>
      <c r="C94" s="106" t="n"/>
      <c r="D94" s="106" t="n"/>
      <c r="E94" s="106" t="n"/>
      <c r="F94" s="106" t="n"/>
      <c r="G94" s="106" t="n"/>
      <c r="H94" s="106" t="n"/>
      <c r="I94" s="106" t="n"/>
      <c r="J94" s="106" t="n"/>
    </row>
    <row r="95">
      <c r="A95" s="106" t="n"/>
      <c r="B95" s="106" t="n"/>
      <c r="C95" s="106" t="n"/>
      <c r="D95" s="106" t="n"/>
      <c r="E95" s="106" t="n"/>
      <c r="F95" s="106" t="n"/>
      <c r="G95" s="106" t="n"/>
      <c r="H95" s="106" t="n"/>
      <c r="I95" s="106" t="n"/>
      <c r="J95" s="106" t="n"/>
    </row>
    <row r="96">
      <c r="A96" s="106" t="n"/>
      <c r="B96" s="106" t="n"/>
      <c r="C96" s="106" t="n"/>
      <c r="D96" s="106" t="n"/>
      <c r="E96" s="106" t="n"/>
      <c r="F96" s="106" t="n"/>
      <c r="G96" s="106" t="n"/>
      <c r="H96" s="106" t="n"/>
      <c r="I96" s="106" t="n"/>
      <c r="J96" s="106" t="n"/>
    </row>
    <row r="97">
      <c r="A97" s="106" t="n"/>
      <c r="B97" s="106" t="n"/>
      <c r="C97" s="106" t="n"/>
      <c r="D97" s="106" t="n"/>
      <c r="E97" s="106" t="n"/>
      <c r="F97" s="106" t="n"/>
      <c r="G97" s="106" t="n"/>
      <c r="H97" s="106" t="n"/>
      <c r="I97" s="106" t="n"/>
      <c r="J97" s="106" t="n"/>
    </row>
    <row r="98">
      <c r="A98" s="106" t="n"/>
      <c r="B98" s="106" t="n"/>
      <c r="C98" s="106" t="n"/>
      <c r="D98" s="106" t="n"/>
      <c r="E98" s="106" t="n"/>
      <c r="F98" s="106" t="n"/>
      <c r="G98" s="106" t="n"/>
      <c r="H98" s="106" t="n"/>
      <c r="I98" s="106" t="n"/>
      <c r="J98" s="106" t="n"/>
    </row>
    <row r="99">
      <c r="A99" s="106" t="n"/>
      <c r="B99" s="106" t="n"/>
      <c r="C99" s="106" t="n"/>
      <c r="D99" s="106" t="n"/>
      <c r="E99" s="106" t="n"/>
      <c r="F99" s="106" t="n"/>
      <c r="G99" s="106" t="n"/>
      <c r="H99" s="106" t="n"/>
      <c r="I99" s="106" t="n"/>
      <c r="J99" s="106" t="n"/>
    </row>
    <row r="100">
      <c r="A100" s="106" t="n"/>
      <c r="B100" s="106" t="n"/>
      <c r="C100" s="106" t="n"/>
      <c r="D100" s="106" t="n"/>
      <c r="E100" s="106" t="n"/>
      <c r="F100" s="106" t="n"/>
      <c r="G100" s="106" t="n"/>
      <c r="H100" s="106" t="n"/>
      <c r="I100" s="106" t="n"/>
      <c r="J100" s="106" t="n"/>
    </row>
  </sheetData>
  <mergeCells count="1">
    <mergeCell ref="A1:P1"/>
  </mergeCells>
  <conditionalFormatting sqref="B6:P6 B12:N12">
    <cfRule type="cellIs" rank="0" priority="2" equalAverage="0" operator="equal" aboveAverage="0" dxfId="0" text="" percent="0" bottom="0">
      <formula>101</formula>
    </cfRule>
    <cfRule type="cellIs" rank="0" priority="3" equalAverage="0" operator="equal" aboveAverage="0" dxfId="1" text="" percent="0" bottom="0">
      <formula>102</formula>
    </cfRule>
    <cfRule type="cellIs" rank="0" priority="4" equalAverage="0" operator="equal" aboveAverage="0" dxfId="2" text="" percent="0" bottom="0">
      <formula>111</formula>
    </cfRule>
    <cfRule type="cellIs" rank="0" priority="5" equalAverage="0" operator="equal" aboveAverage="0" dxfId="3" text="" percent="0" bottom="0">
      <formula>112</formula>
    </cfRule>
    <cfRule type="cellIs" rank="0" priority="6" equalAverage="0" operator="equal" aboveAverage="0" dxfId="4" text="" percent="0" bottom="0">
      <formula>121</formula>
    </cfRule>
    <cfRule type="cellIs" rank="0" priority="7" equalAverage="0" operator="equal" aboveAverage="0" dxfId="0" text="" percent="0" bottom="0">
      <formula>6101</formula>
    </cfRule>
    <cfRule type="cellIs" rank="0" priority="8" equalAverage="0" operator="equal" aboveAverage="0" dxfId="1" text="" percent="0" bottom="0">
      <formula>6102</formula>
    </cfRule>
    <cfRule type="cellIs" rank="0" priority="9" equalAverage="0" operator="equal" aboveAverage="0" dxfId="2" text="" percent="0" bottom="0">
      <formula>6111</formula>
    </cfRule>
    <cfRule type="cellIs" rank="0" priority="10" equalAverage="0" operator="equal" aboveAverage="0" dxfId="3" text="" percent="0" bottom="0">
      <formula>6112</formula>
    </cfRule>
    <cfRule type="cellIs" rank="0" priority="11" equalAverage="0" operator="equal" aboveAverage="0" dxfId="4" text="" percent="0" bottom="0">
      <formula>6121</formula>
    </cfRule>
    <cfRule type="cellIs" rank="0" priority="12" equalAverage="0" operator="equal" aboveAverage="0" dxfId="0" text="" percent="0" bottom="0">
      <formula>7101</formula>
    </cfRule>
    <cfRule type="cellIs" rank="0" priority="13" equalAverage="0" operator="equal" aboveAverage="0" dxfId="1" text="" percent="0" bottom="0">
      <formula>7102</formula>
    </cfRule>
    <cfRule type="cellIs" rank="0" priority="14" equalAverage="0" operator="equal" aboveAverage="0" dxfId="2" text="" percent="0" bottom="0">
      <formula>7111</formula>
    </cfRule>
    <cfRule type="cellIs" rank="0" priority="15" equalAverage="0" operator="equal" aboveAverage="0" dxfId="3" text="" percent="0" bottom="0">
      <formula>7112</formula>
    </cfRule>
    <cfRule type="cellIs" rank="0" priority="16" equalAverage="0" operator="equal" aboveAverage="0" dxfId="4" text="" percent="0" bottom="0">
      <formula>7121</formula>
    </cfRule>
    <cfRule type="cellIs" rank="0" priority="17" equalAverage="0" operator="equal" aboveAverage="0" dxfId="5" text="" percent="0" bottom="0">
      <formula>"X_AM"</formula>
    </cfRule>
    <cfRule type="cellIs" rank="0" priority="18" equalAverage="0" operator="equal" aboveAverage="0" dxfId="5" text="" percent="0" bottom="0">
      <formula>"X_PM"</formula>
    </cfRule>
    <cfRule type="cellIs" rank="0" priority="19" equalAverage="0" operator="equal" aboveAverage="0" dxfId="6" text="" percent="0" bottom="0">
      <formula>"X_10"</formula>
    </cfRule>
    <cfRule type="cellIs" rank="0" priority="20" equalAverage="0" operator="equal" aboveAverage="0" dxfId="7" text="" percent="0" bottom="0">
      <formula>"CN"</formula>
    </cfRule>
    <cfRule type="cellIs" rank="0" priority="21" equalAverage="0" operator="equal" aboveAverage="0" dxfId="7" text="" percent="0" bottom="0">
      <formula>"JC"</formula>
    </cfRule>
    <cfRule type="cellIs" rank="0" priority="22" equalAverage="0" operator="equal" aboveAverage="0" dxfId="8" text="" percent="0" bottom="0">
      <formula>"RH"</formula>
    </cfRule>
    <cfRule type="cellIs" rank="0" priority="23" equalAverage="0" operator="equal" aboveAverage="0" dxfId="9" text="" percent="0" bottom="0">
      <formula>"CH"</formula>
    </cfRule>
    <cfRule type="cellIs" rank="0" priority="24" equalAverage="0" operator="equal" aboveAverage="0" dxfId="10" text="" percent="0" bottom="0">
      <formula>"RR"</formula>
    </cfRule>
    <cfRule type="cellIs" rank="0" priority="25" equalAverage="0" operator="equal" aboveAverage="0" dxfId="11" text="" percent="0" bottom="0">
      <formula>"ZM"</formula>
    </cfRule>
  </conditionalFormatting>
  <conditionalFormatting sqref="B56 B57">
    <cfRule type="cellIs" rank="0" priority="26" equalAverage="0" operator="greaterThan" aboveAverage="0" dxfId="12" text="" percent="0" bottom="0">
      <formula>160</formula>
    </cfRule>
  </conditionalFormatting>
  <conditionalFormatting sqref="B6:Q6">
    <cfRule type="cellIs" priority="26" operator="equal" dxfId="13">
      <formula>"CV"</formula>
    </cfRule>
    <cfRule type="cellIs" priority="27" operator="equal" dxfId="14">
      <formula>"AG"</formula>
    </cfRule>
  </conditionalFormatting>
  <conditionalFormatting sqref="B12:O12">
    <cfRule type="cellIs" priority="28" operator="equal" dxfId="13">
      <formula>"CV"</formula>
    </cfRule>
    <cfRule type="cellIs" priority="29" operator="equal" dxfId="14">
      <formula>"AG"</formula>
    </cfRule>
  </conditionalFormatting>
  <conditionalFormatting sqref="B55">
    <cfRule type="cellIs" priority="30" operator="greaterThan" dxfId="15">
      <formula>160</formula>
    </cfRule>
  </conditionalFormatting>
  <conditionalFormatting sqref="C55">
    <cfRule type="cellIs" priority="31" operator="notEqual" dxfId="16">
      <formula>4</formula>
    </cfRule>
  </conditionalFormatting>
  <conditionalFormatting sqref="D55">
    <cfRule type="cellIs" priority="32" operator="notEqual" dxfId="16">
      <formula>4</formula>
    </cfRule>
  </conditionalFormatting>
  <conditionalFormatting sqref="E55">
    <cfRule type="cellIs" priority="33" operator="notEqual" dxfId="16">
      <formula>1</formula>
    </cfRule>
  </conditionalFormatting>
  <conditionalFormatting sqref="H55">
    <cfRule type="cellIs" priority="34" operator="equal" dxfId="17">
      <formula>"✓ OK"</formula>
    </cfRule>
    <cfRule type="cellIs" priority="35" operator="notEqual" dxfId="15">
      <formula>"✓ OK"</formula>
    </cfRule>
  </conditionalFormatting>
  <conditionalFormatting sqref="B56">
    <cfRule type="cellIs" priority="36" operator="greaterThan" dxfId="15">
      <formula>160</formula>
    </cfRule>
  </conditionalFormatting>
  <conditionalFormatting sqref="C56">
    <cfRule type="cellIs" priority="37" operator="notEqual" dxfId="16">
      <formula>4</formula>
    </cfRule>
  </conditionalFormatting>
  <conditionalFormatting sqref="D56">
    <cfRule type="cellIs" priority="38" operator="notEqual" dxfId="16">
      <formula>4</formula>
    </cfRule>
  </conditionalFormatting>
  <conditionalFormatting sqref="E56">
    <cfRule type="cellIs" priority="39" operator="notEqual" dxfId="16">
      <formula>1</formula>
    </cfRule>
  </conditionalFormatting>
  <conditionalFormatting sqref="H56">
    <cfRule type="cellIs" priority="40" operator="equal" dxfId="17">
      <formula>"✓ OK"</formula>
    </cfRule>
    <cfRule type="cellIs" priority="41" operator="notEqual" dxfId="15">
      <formula>"✓ OK"</formula>
    </cfRule>
  </conditionalFormatting>
  <dataValidations count="1">
    <dataValidation sqref="B6:Q6 B12:O12" showDropDown="0" showInputMessage="0" showErrorMessage="0" allowBlank="1" type="list">
      <formula1>"101,102,111,112,121,6101,6102,6111,6112,6121,7101,7102,7111,7112,7121,X_AM,X_PM,X_10,AG,CN,JC,RH,CH,RR,CV,ZM"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Q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L48:L49 A1"/>
    </sheetView>
  </sheetViews>
  <sheetFormatPr baseColWidth="8" defaultColWidth="8.6796875" defaultRowHeight="15" customHeight="0" zeroHeight="0" outlineLevelRow="0"/>
  <cols>
    <col width="45" customWidth="1" style="66" min="1" max="1"/>
    <col width="10" customWidth="1" style="66" min="2" max="17"/>
  </cols>
  <sheetData>
    <row r="1" ht="24.75" customHeight="1" s="67">
      <c r="A1" s="107" t="inlineStr">
        <is>
          <t>MARS 2026</t>
        </is>
      </c>
      <c r="Q1" s="69" t="n"/>
    </row>
    <row r="2" ht="15" customHeight="1" s="67">
      <c r="A2" s="69" t="n"/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</row>
    <row r="3" ht="15" customHeight="1" s="67">
      <c r="A3" s="108" t="inlineStr">
        <is>
          <t>Jours 1-15</t>
        </is>
      </c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</row>
    <row r="4" ht="18" customHeight="1" s="67">
      <c r="A4" s="76" t="inlineStr">
        <is>
          <t>Jour</t>
        </is>
      </c>
      <c r="B4" s="111" t="n">
        <v>1</v>
      </c>
      <c r="C4" s="110" t="n">
        <v>2</v>
      </c>
      <c r="D4" s="110" t="n">
        <v>3</v>
      </c>
      <c r="E4" s="110" t="n">
        <v>4</v>
      </c>
      <c r="F4" s="110" t="n">
        <v>5</v>
      </c>
      <c r="G4" s="110" t="n">
        <v>6</v>
      </c>
      <c r="H4" s="111" t="n">
        <v>7</v>
      </c>
      <c r="I4" s="112" t="n">
        <v>8</v>
      </c>
      <c r="J4" s="112" t="n">
        <v>9</v>
      </c>
      <c r="K4" s="110" t="n">
        <v>10</v>
      </c>
      <c r="L4" s="110" t="n">
        <v>11</v>
      </c>
      <c r="M4" s="110" t="n">
        <v>12</v>
      </c>
      <c r="N4" s="110" t="n">
        <v>13</v>
      </c>
      <c r="O4" s="111" t="n">
        <v>14</v>
      </c>
      <c r="P4" s="111" t="n">
        <v>15</v>
      </c>
      <c r="Q4" s="69" t="n"/>
    </row>
    <row r="5" ht="18" customHeight="1" s="67">
      <c r="A5" s="76" t="inlineStr">
        <is>
          <t>J.sem</t>
        </is>
      </c>
      <c r="B5" s="111" t="inlineStr">
        <is>
          <t>D</t>
        </is>
      </c>
      <c r="C5" s="110" t="inlineStr">
        <is>
          <t>L</t>
        </is>
      </c>
      <c r="D5" s="110" t="inlineStr">
        <is>
          <t>M</t>
        </is>
      </c>
      <c r="E5" s="110" t="inlineStr">
        <is>
          <t>M</t>
        </is>
      </c>
      <c r="F5" s="110" t="inlineStr">
        <is>
          <t>J</t>
        </is>
      </c>
      <c r="G5" s="110" t="inlineStr">
        <is>
          <t>V</t>
        </is>
      </c>
      <c r="H5" s="111" t="inlineStr">
        <is>
          <t>S</t>
        </is>
      </c>
      <c r="I5" s="112" t="inlineStr">
        <is>
          <t>D</t>
        </is>
      </c>
      <c r="J5" s="112" t="inlineStr">
        <is>
          <t>L</t>
        </is>
      </c>
      <c r="K5" s="110" t="inlineStr">
        <is>
          <t>M</t>
        </is>
      </c>
      <c r="L5" s="110" t="inlineStr">
        <is>
          <t>M</t>
        </is>
      </c>
      <c r="M5" s="110" t="inlineStr">
        <is>
          <t>J</t>
        </is>
      </c>
      <c r="N5" s="110" t="inlineStr">
        <is>
          <t>V</t>
        </is>
      </c>
      <c r="O5" s="111" t="inlineStr">
        <is>
          <t>S</t>
        </is>
      </c>
      <c r="P5" s="111" t="inlineStr">
        <is>
          <t>D</t>
        </is>
      </c>
      <c r="Q5" s="69" t="n"/>
    </row>
    <row r="6" ht="24.75" customHeight="1" s="67">
      <c r="A6" s="76" t="inlineStr">
        <is>
          <t>Code</t>
        </is>
      </c>
      <c r="B6" s="114" t="n"/>
      <c r="C6" s="114" t="n"/>
      <c r="D6" s="114" t="n"/>
      <c r="E6" s="114" t="n"/>
      <c r="F6" s="114" t="n"/>
      <c r="G6" s="114" t="n"/>
      <c r="H6" s="114" t="n"/>
      <c r="I6" s="139" t="n"/>
      <c r="J6" s="115" t="n"/>
      <c r="K6" s="114" t="n"/>
      <c r="L6" s="114" t="n"/>
      <c r="M6" s="114" t="n"/>
      <c r="N6" s="114" t="n"/>
      <c r="O6" s="114" t="n"/>
      <c r="P6" s="114" t="n"/>
      <c r="Q6" s="69" t="n"/>
    </row>
    <row r="7" ht="15" customHeight="1" s="67">
      <c r="A7" s="76" t="inlineStr">
        <is>
          <t>Période</t>
        </is>
      </c>
      <c r="B7" s="118" t="inlineStr">
        <is>
          <t>P2</t>
        </is>
      </c>
      <c r="C7" s="118" t="inlineStr">
        <is>
          <t>P2</t>
        </is>
      </c>
      <c r="D7" s="118" t="inlineStr">
        <is>
          <t>P2</t>
        </is>
      </c>
      <c r="E7" s="118" t="inlineStr">
        <is>
          <t>P2</t>
        </is>
      </c>
      <c r="F7" s="118" t="inlineStr">
        <is>
          <t>P2</t>
        </is>
      </c>
      <c r="G7" s="118" t="inlineStr">
        <is>
          <t>P2</t>
        </is>
      </c>
      <c r="H7" s="118" t="inlineStr">
        <is>
          <t>P2</t>
        </is>
      </c>
      <c r="I7" s="117" t="inlineStr">
        <is>
          <t>P2</t>
        </is>
      </c>
      <c r="J7" s="117" t="inlineStr">
        <is>
          <t>P3</t>
        </is>
      </c>
      <c r="K7" s="118" t="inlineStr">
        <is>
          <t>P3</t>
        </is>
      </c>
      <c r="L7" s="118" t="inlineStr">
        <is>
          <t>P3</t>
        </is>
      </c>
      <c r="M7" s="118" t="inlineStr">
        <is>
          <t>P3</t>
        </is>
      </c>
      <c r="N7" s="118" t="inlineStr">
        <is>
          <t>P3</t>
        </is>
      </c>
      <c r="O7" s="118" t="inlineStr">
        <is>
          <t>P3</t>
        </is>
      </c>
      <c r="P7" s="118" t="inlineStr">
        <is>
          <t>P3</t>
        </is>
      </c>
      <c r="Q7" s="69" t="n"/>
    </row>
    <row r="8" ht="15" customHeight="1" s="67">
      <c r="A8" s="69" t="n"/>
      <c r="B8" s="69" t="n"/>
      <c r="C8" s="69" t="n"/>
      <c r="D8" s="69" t="n"/>
      <c r="E8" s="69" t="n"/>
      <c r="F8" s="69" t="n"/>
      <c r="G8" s="69" t="n"/>
      <c r="H8" s="69" t="n"/>
      <c r="I8" s="69" t="n"/>
      <c r="J8" s="69" t="n"/>
      <c r="K8" s="69" t="n"/>
      <c r="L8" s="69" t="n"/>
      <c r="M8" s="69" t="n"/>
      <c r="N8" s="69" t="n"/>
      <c r="O8" s="69" t="n"/>
      <c r="P8" s="69" t="n"/>
      <c r="Q8" s="69" t="n"/>
    </row>
    <row r="9" ht="15" customHeight="1" s="67">
      <c r="A9" s="108" t="inlineStr">
        <is>
          <t>Jours 16-31</t>
        </is>
      </c>
      <c r="B9" s="69" t="n"/>
      <c r="C9" s="69" t="n"/>
      <c r="D9" s="69" t="n"/>
      <c r="E9" s="69" t="n"/>
      <c r="F9" s="69" t="n"/>
      <c r="G9" s="69" t="n"/>
      <c r="H9" s="69" t="n"/>
      <c r="I9" s="69" t="n"/>
      <c r="J9" s="69" t="n"/>
      <c r="K9" s="69" t="n"/>
      <c r="L9" s="69" t="n"/>
      <c r="M9" s="69" t="n"/>
      <c r="N9" s="69" t="n"/>
      <c r="O9" s="69" t="n"/>
      <c r="P9" s="69" t="n"/>
      <c r="Q9" s="69" t="n"/>
    </row>
    <row r="10" ht="18" customHeight="1" s="67">
      <c r="A10" s="76" t="inlineStr">
        <is>
          <t>Jour</t>
        </is>
      </c>
      <c r="B10" s="110" t="n">
        <v>16</v>
      </c>
      <c r="C10" s="110" t="n">
        <v>17</v>
      </c>
      <c r="D10" s="110" t="n">
        <v>18</v>
      </c>
      <c r="E10" s="110" t="n">
        <v>19</v>
      </c>
      <c r="F10" s="110" t="n">
        <v>20</v>
      </c>
      <c r="G10" s="111" t="n">
        <v>21</v>
      </c>
      <c r="H10" s="111" t="n">
        <v>22</v>
      </c>
      <c r="I10" s="110" t="n">
        <v>23</v>
      </c>
      <c r="J10" s="110" t="n">
        <v>24</v>
      </c>
      <c r="K10" s="110" t="n">
        <v>25</v>
      </c>
      <c r="L10" s="110" t="n">
        <v>26</v>
      </c>
      <c r="M10" s="110" t="n">
        <v>27</v>
      </c>
      <c r="N10" s="111" t="n">
        <v>28</v>
      </c>
      <c r="O10" s="120" t="n">
        <v>29</v>
      </c>
      <c r="P10" s="119" t="n">
        <v>30</v>
      </c>
      <c r="Q10" s="119" t="n">
        <v>31</v>
      </c>
    </row>
    <row r="11" ht="18" customHeight="1" s="67">
      <c r="A11" s="76" t="inlineStr">
        <is>
          <t>J.sem</t>
        </is>
      </c>
      <c r="B11" s="110" t="inlineStr">
        <is>
          <t>L</t>
        </is>
      </c>
      <c r="C11" s="110" t="inlineStr">
        <is>
          <t>M</t>
        </is>
      </c>
      <c r="D11" s="110" t="inlineStr">
        <is>
          <t>M</t>
        </is>
      </c>
      <c r="E11" s="110" t="inlineStr">
        <is>
          <t>J</t>
        </is>
      </c>
      <c r="F11" s="110" t="inlineStr">
        <is>
          <t>V</t>
        </is>
      </c>
      <c r="G11" s="111" t="inlineStr">
        <is>
          <t>S</t>
        </is>
      </c>
      <c r="H11" s="111" t="inlineStr">
        <is>
          <t>D</t>
        </is>
      </c>
      <c r="I11" s="110" t="inlineStr">
        <is>
          <t>L</t>
        </is>
      </c>
      <c r="J11" s="110" t="inlineStr">
        <is>
          <t>M</t>
        </is>
      </c>
      <c r="K11" s="110" t="inlineStr">
        <is>
          <t>M</t>
        </is>
      </c>
      <c r="L11" s="110" t="inlineStr">
        <is>
          <t>J</t>
        </is>
      </c>
      <c r="M11" s="110" t="inlineStr">
        <is>
          <t>V</t>
        </is>
      </c>
      <c r="N11" s="111" t="inlineStr">
        <is>
          <t>S</t>
        </is>
      </c>
      <c r="O11" s="120" t="inlineStr">
        <is>
          <t>D</t>
        </is>
      </c>
      <c r="P11" s="119" t="inlineStr">
        <is>
          <t>L</t>
        </is>
      </c>
      <c r="Q11" s="119" t="inlineStr">
        <is>
          <t>M</t>
        </is>
      </c>
    </row>
    <row r="12" ht="24.75" customHeight="1" s="67">
      <c r="A12" s="76" t="inlineStr">
        <is>
          <t>Code</t>
        </is>
      </c>
      <c r="B12" s="114" t="n"/>
      <c r="C12" s="114" t="n"/>
      <c r="D12" s="114" t="n"/>
      <c r="E12" s="114" t="n"/>
      <c r="F12" s="114" t="n"/>
      <c r="G12" s="114" t="n"/>
      <c r="H12" s="114" t="n"/>
      <c r="I12" s="114" t="n"/>
      <c r="J12" s="114" t="n"/>
      <c r="K12" s="114" t="n"/>
      <c r="L12" s="114" t="n"/>
      <c r="M12" s="114" t="n"/>
      <c r="N12" s="114" t="n"/>
      <c r="O12" s="114" t="n"/>
      <c r="P12" s="114" t="n"/>
      <c r="Q12" s="114" t="n"/>
    </row>
    <row r="13" ht="15" customHeight="1" s="67">
      <c r="A13" s="76" t="inlineStr">
        <is>
          <t>Période</t>
        </is>
      </c>
      <c r="B13" s="118" t="inlineStr">
        <is>
          <t>P3</t>
        </is>
      </c>
      <c r="C13" s="118" t="inlineStr">
        <is>
          <t>P3</t>
        </is>
      </c>
      <c r="D13" s="118" t="inlineStr">
        <is>
          <t>P3</t>
        </is>
      </c>
      <c r="E13" s="118" t="inlineStr">
        <is>
          <t>P3</t>
        </is>
      </c>
      <c r="F13" s="118" t="inlineStr">
        <is>
          <t>P3</t>
        </is>
      </c>
      <c r="G13" s="118" t="inlineStr">
        <is>
          <t>P3</t>
        </is>
      </c>
      <c r="H13" s="118" t="inlineStr">
        <is>
          <t>P3</t>
        </is>
      </c>
      <c r="I13" s="118" t="inlineStr">
        <is>
          <t>P3</t>
        </is>
      </c>
      <c r="J13" s="118" t="inlineStr">
        <is>
          <t>P3</t>
        </is>
      </c>
      <c r="K13" s="118" t="inlineStr">
        <is>
          <t>P3</t>
        </is>
      </c>
      <c r="L13" s="118" t="inlineStr">
        <is>
          <t>P3</t>
        </is>
      </c>
      <c r="M13" s="118" t="inlineStr">
        <is>
          <t>P3</t>
        </is>
      </c>
      <c r="N13" s="118" t="inlineStr">
        <is>
          <t>P3</t>
        </is>
      </c>
      <c r="O13" s="118" t="inlineStr">
        <is>
          <t>P3</t>
        </is>
      </c>
      <c r="P13" s="118" t="inlineStr">
        <is>
          <t>P3</t>
        </is>
      </c>
      <c r="Q13" s="118" t="inlineStr">
        <is>
          <t>P3</t>
        </is>
      </c>
    </row>
    <row r="16" ht="15" customHeight="1" s="67">
      <c r="A16" s="104" t="inlineStr">
        <is>
          <t>Prestations</t>
        </is>
      </c>
      <c r="B16" s="104" t="inlineStr">
        <is>
          <t>Jours</t>
        </is>
      </c>
      <c r="C16" s="104" t="inlineStr">
        <is>
          <t>H. Totales</t>
        </is>
      </c>
      <c r="D16" s="104" t="inlineStr">
        <is>
          <t>H. Nuit</t>
        </is>
      </c>
      <c r="E16" s="104" t="inlineStr">
        <is>
          <t>Couleur</t>
        </is>
      </c>
      <c r="F16" s="106" t="n"/>
      <c r="G16" s="106" t="n"/>
      <c r="H16" s="106" t="n"/>
      <c r="I16" s="106" t="n"/>
      <c r="J16" s="106" t="n"/>
    </row>
    <row r="17">
      <c r="A17" s="105" t="inlineStr">
        <is>
          <t>101</t>
        </is>
      </c>
      <c r="B17" s="105">
        <f>COUNTIF(B6:P6,"101")+COUNTIF(B12:R12,"101")</f>
        <v/>
      </c>
      <c r="C17" s="105">
        <f>B17*8</f>
        <v/>
      </c>
      <c r="D17" s="105">
        <f>B17*2</f>
        <v/>
      </c>
      <c r="E17" s="121" t="n"/>
      <c r="F17" s="106" t="n"/>
      <c r="G17" s="106" t="n"/>
      <c r="H17" s="106" t="n"/>
      <c r="I17" s="106" t="n"/>
      <c r="J17" s="106" t="n"/>
    </row>
    <row r="18" ht="15" customHeight="1" s="67">
      <c r="A18" s="105" t="inlineStr">
        <is>
          <t>102</t>
        </is>
      </c>
      <c r="B18" s="105">
        <f>COUNTIF(B6:P6,"102")+COUNTIF(B12:R12,"102")</f>
        <v/>
      </c>
      <c r="C18" s="105">
        <f>B18*8</f>
        <v/>
      </c>
      <c r="D18" s="105">
        <f>B18*2</f>
        <v/>
      </c>
      <c r="E18" s="122" t="n"/>
      <c r="F18" s="106" t="n"/>
      <c r="G18" s="106" t="n"/>
      <c r="H18" s="106" t="n"/>
      <c r="I18" s="106" t="n"/>
      <c r="J18" s="106" t="n"/>
    </row>
    <row r="19" ht="15" customHeight="1" s="67">
      <c r="A19" s="105" t="inlineStr">
        <is>
          <t>111</t>
        </is>
      </c>
      <c r="B19" s="105">
        <f>COUNTIF(B6:P6,"111")+COUNTIF(B12:R12,"111")</f>
        <v/>
      </c>
      <c r="C19" s="105">
        <f>B19*8</f>
        <v/>
      </c>
      <c r="D19" s="105">
        <f>B19*2</f>
        <v/>
      </c>
      <c r="E19" s="123" t="n"/>
      <c r="F19" s="106" t="n"/>
      <c r="G19" s="106" t="n"/>
      <c r="H19" s="106" t="n"/>
      <c r="I19" s="106" t="n"/>
      <c r="J19" s="106" t="n"/>
    </row>
    <row r="20" ht="15" customHeight="1" s="67">
      <c r="A20" s="105" t="inlineStr">
        <is>
          <t>112</t>
        </is>
      </c>
      <c r="B20" s="105">
        <f>COUNTIF(B6:P6,"112")+COUNTIF(B12:R12,"112")</f>
        <v/>
      </c>
      <c r="C20" s="105">
        <f>B20*8</f>
        <v/>
      </c>
      <c r="D20" s="105">
        <f>B20*2</f>
        <v/>
      </c>
      <c r="E20" s="124" t="n"/>
      <c r="F20" s="106" t="n"/>
      <c r="G20" s="106" t="n"/>
      <c r="H20" s="106" t="n"/>
      <c r="I20" s="106" t="n"/>
      <c r="J20" s="106" t="n"/>
    </row>
    <row r="21" ht="15" customHeight="1" s="67">
      <c r="A21" s="105" t="inlineStr">
        <is>
          <t>121</t>
        </is>
      </c>
      <c r="B21" s="105">
        <f>COUNTIF(B6:P6,"121")+COUNTIF(B12:R12,"121")</f>
        <v/>
      </c>
      <c r="C21" s="105">
        <f>B21*8</f>
        <v/>
      </c>
      <c r="D21" s="105">
        <f>B21*8</f>
        <v/>
      </c>
      <c r="E21" s="125" t="n"/>
      <c r="F21" s="106" t="n"/>
      <c r="G21" s="106" t="n"/>
      <c r="H21" s="106" t="n"/>
      <c r="I21" s="106" t="n"/>
      <c r="J21" s="106" t="n"/>
    </row>
    <row r="22" ht="15" customHeight="1" s="67">
      <c r="A22" s="105" t="inlineStr">
        <is>
          <t>6101</t>
        </is>
      </c>
      <c r="B22" s="105">
        <f>COUNTIF(B6:P6,"6101")+COUNTIF(B12:R12,"6101")</f>
        <v/>
      </c>
      <c r="C22" s="105">
        <f>B22*8</f>
        <v/>
      </c>
      <c r="D22" s="105">
        <f>B22*2</f>
        <v/>
      </c>
      <c r="E22" s="121" t="n"/>
      <c r="F22" s="106" t="n"/>
      <c r="G22" s="106" t="n"/>
      <c r="H22" s="106" t="n"/>
      <c r="I22" s="106" t="n"/>
      <c r="J22" s="106" t="n"/>
    </row>
    <row r="23" ht="15" customHeight="1" s="67">
      <c r="A23" s="105" t="inlineStr">
        <is>
          <t>6102</t>
        </is>
      </c>
      <c r="B23" s="105">
        <f>COUNTIF(B6:P6,"6102")+COUNTIF(B12:R12,"6102")</f>
        <v/>
      </c>
      <c r="C23" s="105">
        <f>B23*8</f>
        <v/>
      </c>
      <c r="D23" s="105">
        <f>B23*2</f>
        <v/>
      </c>
      <c r="E23" s="122" t="n"/>
      <c r="F23" s="106" t="n"/>
      <c r="G23" s="106" t="n"/>
      <c r="H23" s="106" t="n"/>
      <c r="I23" s="106" t="n"/>
      <c r="J23" s="106" t="n"/>
    </row>
    <row r="24" ht="15" customHeight="1" s="67">
      <c r="A24" s="105" t="inlineStr">
        <is>
          <t>6111</t>
        </is>
      </c>
      <c r="B24" s="105">
        <f>COUNTIF(B6:P6,"6111")+COUNTIF(B12:R12,"6111")</f>
        <v/>
      </c>
      <c r="C24" s="105">
        <f>B24*8</f>
        <v/>
      </c>
      <c r="D24" s="105">
        <f>B24*2</f>
        <v/>
      </c>
      <c r="E24" s="123" t="n"/>
      <c r="F24" s="106" t="n"/>
      <c r="G24" s="106" t="n"/>
      <c r="H24" s="106" t="n"/>
      <c r="I24" s="106" t="n"/>
      <c r="J24" s="106" t="n"/>
    </row>
    <row r="25" ht="15" customHeight="1" s="67">
      <c r="A25" s="105" t="inlineStr">
        <is>
          <t>6112</t>
        </is>
      </c>
      <c r="B25" s="105">
        <f>COUNTIF(B6:P6,"6112")+COUNTIF(B12:R12,"6112")</f>
        <v/>
      </c>
      <c r="C25" s="105">
        <f>B25*8</f>
        <v/>
      </c>
      <c r="D25" s="105">
        <f>B25*2</f>
        <v/>
      </c>
      <c r="E25" s="124" t="n"/>
      <c r="F25" s="106" t="n"/>
      <c r="G25" s="106" t="n"/>
      <c r="H25" s="106" t="n"/>
      <c r="I25" s="106" t="n"/>
      <c r="J25" s="106" t="n"/>
    </row>
    <row r="26" ht="15" customHeight="1" s="67">
      <c r="A26" s="105" t="inlineStr">
        <is>
          <t>6121</t>
        </is>
      </c>
      <c r="B26" s="105">
        <f>COUNTIF(B6:P6,"6121")+COUNTIF(B12:R12,"6121")</f>
        <v/>
      </c>
      <c r="C26" s="105">
        <f>B26*8</f>
        <v/>
      </c>
      <c r="D26" s="105">
        <f>B26*8</f>
        <v/>
      </c>
      <c r="E26" s="125" t="n"/>
      <c r="F26" s="106" t="n"/>
      <c r="G26" s="106" t="n"/>
      <c r="H26" s="106" t="n"/>
      <c r="I26" s="106" t="n"/>
      <c r="J26" s="106" t="n"/>
    </row>
    <row r="27" ht="15" customHeight="1" s="67">
      <c r="A27" s="105" t="inlineStr">
        <is>
          <t>7101</t>
        </is>
      </c>
      <c r="B27" s="105">
        <f>COUNTIF(B6:P6,"7101")+COUNTIF(B12:R12,"7101")</f>
        <v/>
      </c>
      <c r="C27" s="105">
        <f>B27*8</f>
        <v/>
      </c>
      <c r="D27" s="105">
        <f>B27*2</f>
        <v/>
      </c>
      <c r="E27" s="121" t="n"/>
      <c r="F27" s="106" t="n"/>
      <c r="G27" s="106" t="n"/>
      <c r="H27" s="106" t="n"/>
      <c r="I27" s="106" t="n"/>
      <c r="J27" s="106" t="n"/>
    </row>
    <row r="28" ht="15" customHeight="1" s="67">
      <c r="A28" s="105" t="inlineStr">
        <is>
          <t>7102</t>
        </is>
      </c>
      <c r="B28" s="105">
        <f>COUNTIF(B6:P6,"7102")+COUNTIF(B12:R12,"7102")</f>
        <v/>
      </c>
      <c r="C28" s="105">
        <f>B28*8</f>
        <v/>
      </c>
      <c r="D28" s="105">
        <f>B28*2</f>
        <v/>
      </c>
      <c r="E28" s="122" t="n"/>
      <c r="F28" s="106" t="n"/>
      <c r="G28" s="106" t="n"/>
      <c r="H28" s="106" t="n"/>
      <c r="I28" s="106" t="n"/>
      <c r="J28" s="106" t="n"/>
    </row>
    <row r="29" ht="15" customHeight="1" s="67">
      <c r="A29" s="105" t="inlineStr">
        <is>
          <t>7111</t>
        </is>
      </c>
      <c r="B29" s="105">
        <f>COUNTIF(B6:P6,"7111")+COUNTIF(B12:R12,"7111")</f>
        <v/>
      </c>
      <c r="C29" s="105">
        <f>B29*8</f>
        <v/>
      </c>
      <c r="D29" s="105">
        <f>B29*2</f>
        <v/>
      </c>
      <c r="E29" s="123" t="n"/>
      <c r="F29" s="106" t="n"/>
      <c r="G29" s="106" t="n"/>
      <c r="H29" s="106" t="n"/>
      <c r="I29" s="106" t="n"/>
      <c r="J29" s="106" t="n"/>
    </row>
    <row r="30" ht="15" customHeight="1" s="67">
      <c r="A30" s="105" t="inlineStr">
        <is>
          <t>7112</t>
        </is>
      </c>
      <c r="B30" s="105">
        <f>COUNTIF(B6:P6,"7112")+COUNTIF(B12:R12,"7112")</f>
        <v/>
      </c>
      <c r="C30" s="105">
        <f>B30*8</f>
        <v/>
      </c>
      <c r="D30" s="105">
        <f>B30*2</f>
        <v/>
      </c>
      <c r="E30" s="124" t="n"/>
      <c r="F30" s="106" t="n"/>
      <c r="G30" s="106" t="n"/>
      <c r="H30" s="106" t="n"/>
      <c r="I30" s="106" t="n"/>
      <c r="J30" s="106" t="n"/>
    </row>
    <row r="31" ht="15" customHeight="1" s="67">
      <c r="A31" s="105" t="inlineStr">
        <is>
          <t>7121</t>
        </is>
      </c>
      <c r="B31" s="105">
        <f>COUNTIF(B6:P6,"7121")+COUNTIF(B12:R12,"7121")</f>
        <v/>
      </c>
      <c r="C31" s="105">
        <f>B31*8</f>
        <v/>
      </c>
      <c r="D31" s="105">
        <f>B31*8</f>
        <v/>
      </c>
      <c r="E31" s="125" t="n"/>
      <c r="F31" s="106" t="n"/>
      <c r="G31" s="106" t="n"/>
      <c r="H31" s="106" t="n"/>
      <c r="I31" s="106" t="n"/>
      <c r="J31" s="106" t="n"/>
    </row>
    <row r="32" ht="15" customHeight="1" s="67">
      <c r="A32" s="105" t="inlineStr">
        <is>
          <t>X_AM</t>
        </is>
      </c>
      <c r="B32" s="105">
        <f>COUNTIF(B6:P6,"X_AM")+COUNTIF(B12:R12,"X_AM")</f>
        <v/>
      </c>
      <c r="C32" s="105">
        <f>B32*8</f>
        <v/>
      </c>
      <c r="D32" s="105">
        <f>B32*2</f>
        <v/>
      </c>
      <c r="E32" s="126" t="n"/>
      <c r="F32" s="106" t="n"/>
      <c r="G32" s="106" t="n"/>
      <c r="H32" s="106" t="n"/>
      <c r="I32" s="106" t="n"/>
      <c r="J32" s="106" t="n"/>
    </row>
    <row r="33" ht="15" customHeight="1" s="67">
      <c r="A33" s="105" t="inlineStr">
        <is>
          <t>X_PM</t>
        </is>
      </c>
      <c r="B33" s="105">
        <f>COUNTIF(B6:P6,"X_PM")+COUNTIF(B12:R12,"X_PM")</f>
        <v/>
      </c>
      <c r="C33" s="105">
        <f>B33*8</f>
        <v/>
      </c>
      <c r="D33" s="105">
        <f>B33*2</f>
        <v/>
      </c>
      <c r="E33" s="126" t="n"/>
      <c r="F33" s="106" t="n"/>
      <c r="G33" s="106" t="n"/>
      <c r="H33" s="106" t="n"/>
      <c r="I33" s="106" t="n"/>
      <c r="J33" s="106" t="n"/>
    </row>
    <row r="34" ht="15" customHeight="1" s="67">
      <c r="A34" s="105" t="inlineStr">
        <is>
          <t>X_10</t>
        </is>
      </c>
      <c r="B34" s="105">
        <f>COUNTIF(B6:P6,"X_10")+COUNTIF(B12:R12,"X_10")</f>
        <v/>
      </c>
      <c r="C34" s="105">
        <f>B34*8</f>
        <v/>
      </c>
      <c r="D34" s="105" t="n">
        <v>0</v>
      </c>
      <c r="E34" s="127" t="n"/>
      <c r="F34" s="106" t="n"/>
      <c r="G34" s="106" t="n"/>
      <c r="H34" s="106" t="n"/>
      <c r="I34" s="106" t="n"/>
      <c r="J34" s="106" t="n"/>
    </row>
    <row r="35" ht="15" customHeight="1" s="67">
      <c r="A35" s="105" t="inlineStr">
        <is>
          <t>AG</t>
        </is>
      </c>
      <c r="B35" s="105">
        <f>COUNTIF(B6:P6,"AG")+COUNTIF(B12:R12,"AG")</f>
        <v/>
      </c>
      <c r="C35" s="105">
        <f>B35*8</f>
        <v/>
      </c>
      <c r="D35" s="105" t="n">
        <v>0</v>
      </c>
      <c r="E35" s="128" t="n"/>
      <c r="F35" s="106" t="n"/>
      <c r="G35" s="106" t="n"/>
      <c r="H35" s="106" t="n"/>
      <c r="I35" s="106" t="n"/>
      <c r="J35" s="106" t="n"/>
    </row>
    <row r="36" ht="15" customHeight="1" s="67">
      <c r="A36" s="129" t="inlineStr">
        <is>
          <t>TOTAL</t>
        </is>
      </c>
      <c r="B36" s="129">
        <f>SUM(B17:B35)</f>
        <v/>
      </c>
      <c r="C36" s="129">
        <f>SUM(C17:C35)</f>
        <v/>
      </c>
      <c r="D36" s="129">
        <f>SUM(D17:D35)</f>
        <v/>
      </c>
      <c r="E36" s="129" t="n"/>
      <c r="F36" s="106" t="n"/>
      <c r="G36" s="106" t="n"/>
      <c r="H36" s="106" t="n"/>
      <c r="I36" s="106" t="n"/>
      <c r="J36" s="106" t="n"/>
    </row>
    <row r="37" ht="15" customHeight="1" s="67">
      <c r="A37" s="130" t="n"/>
      <c r="B37" s="130" t="n"/>
      <c r="C37" s="130" t="n"/>
      <c r="D37" s="130" t="n"/>
      <c r="E37" s="130" t="n"/>
      <c r="F37" s="106" t="n"/>
      <c r="G37" s="106" t="n"/>
      <c r="H37" s="106" t="n"/>
      <c r="I37" s="106" t="n"/>
      <c r="J37" s="106" t="n"/>
    </row>
    <row r="38" ht="15" customHeight="1" s="67">
      <c r="A38" s="104" t="inlineStr">
        <is>
          <t>REPOS</t>
        </is>
      </c>
      <c r="B38" s="104" t="inlineStr">
        <is>
          <t>Jours</t>
        </is>
      </c>
      <c r="C38" s="104" t="inlineStr">
        <is>
          <t>H. Totales</t>
        </is>
      </c>
      <c r="D38" s="104" t="inlineStr">
        <is>
          <t>H. Nuit</t>
        </is>
      </c>
      <c r="E38" s="104" t="inlineStr">
        <is>
          <t>Couleur</t>
        </is>
      </c>
      <c r="F38" s="106" t="n"/>
      <c r="G38" s="106" t="n"/>
      <c r="H38" s="106" t="n"/>
      <c r="I38" s="106" t="n"/>
      <c r="J38" s="106" t="n"/>
    </row>
    <row r="39" ht="15" customHeight="1" s="67">
      <c r="A39" s="105" t="inlineStr">
        <is>
          <t>CN</t>
        </is>
      </c>
      <c r="B39" s="105">
        <f>COUNTIF(B6:P6,"CN")+COUNTIF(B12:R12,"CN")</f>
        <v/>
      </c>
      <c r="C39" s="105">
        <f>B39*8</f>
        <v/>
      </c>
      <c r="D39" s="105" t="n">
        <v>0</v>
      </c>
      <c r="E39" s="131" t="n"/>
      <c r="F39" s="106" t="n"/>
      <c r="G39" s="106" t="n"/>
      <c r="H39" s="106" t="n"/>
      <c r="I39" s="106" t="n"/>
      <c r="J39" s="106" t="n"/>
    </row>
    <row r="40" ht="15" customHeight="1" s="67">
      <c r="A40" s="105" t="inlineStr">
        <is>
          <t>JC</t>
        </is>
      </c>
      <c r="B40" s="105">
        <f>COUNTIF(B6:P6,"JC")+COUNTIF(B12:R12,"JC")</f>
        <v/>
      </c>
      <c r="C40" s="105">
        <f>B40*8</f>
        <v/>
      </c>
      <c r="D40" s="105" t="n">
        <v>0</v>
      </c>
      <c r="E40" s="131" t="n"/>
      <c r="F40" s="106" t="n"/>
      <c r="G40" s="106" t="n"/>
      <c r="H40" s="106" t="n"/>
      <c r="I40" s="106" t="n"/>
      <c r="J40" s="106" t="n"/>
    </row>
    <row r="41" ht="15" customHeight="1" s="67">
      <c r="A41" s="105" t="inlineStr">
        <is>
          <t>RH</t>
        </is>
      </c>
      <c r="B41" s="105">
        <f>COUNTIF(B6:P6,"RH")+COUNTIF(B12:R12,"RH")</f>
        <v/>
      </c>
      <c r="C41" s="105" t="n">
        <v>0</v>
      </c>
      <c r="D41" s="105" t="n">
        <v>0</v>
      </c>
      <c r="E41" s="132" t="n"/>
      <c r="F41" s="106" t="n"/>
      <c r="G41" s="106" t="n"/>
      <c r="H41" s="106" t="n"/>
      <c r="I41" s="106" t="n"/>
      <c r="J41" s="106" t="n"/>
    </row>
    <row r="42" ht="15" customHeight="1" s="67">
      <c r="A42" s="105" t="inlineStr">
        <is>
          <t>CH</t>
        </is>
      </c>
      <c r="B42" s="105">
        <f>COUNTIF(B6:P6,"CH")+COUNTIF(B12:R12,"CH")</f>
        <v/>
      </c>
      <c r="C42" s="105" t="n">
        <v>0</v>
      </c>
      <c r="D42" s="105" t="n">
        <v>0</v>
      </c>
      <c r="E42" s="133" t="n"/>
      <c r="F42" s="106" t="n"/>
      <c r="G42" s="106" t="n"/>
      <c r="H42" s="106" t="n"/>
      <c r="I42" s="106" t="n"/>
      <c r="J42" s="106" t="n"/>
    </row>
    <row r="43" ht="15" customHeight="1" s="67">
      <c r="A43" s="105" t="inlineStr">
        <is>
          <t>RR</t>
        </is>
      </c>
      <c r="B43" s="105">
        <f>COUNTIF(B6:P6,"RR")+COUNTIF(B12:R12,"RR")</f>
        <v/>
      </c>
      <c r="C43" s="105">
        <f>B43*8</f>
        <v/>
      </c>
      <c r="D43" s="105" t="n">
        <v>0</v>
      </c>
      <c r="E43" s="134" t="n"/>
      <c r="F43" s="106" t="n"/>
      <c r="G43" s="106" t="n"/>
      <c r="H43" s="106" t="n"/>
      <c r="I43" s="106" t="n"/>
      <c r="J43" s="106" t="n"/>
    </row>
    <row r="44">
      <c r="A44" s="105" t="inlineStr">
        <is>
          <t>CV</t>
        </is>
      </c>
      <c r="B44" s="105">
        <f>COUNTIF(B6:P6,"CV")+COUNTIF(B12:R12,"CV")</f>
        <v/>
      </c>
      <c r="C44" s="105">
        <f>B44*8</f>
        <v/>
      </c>
      <c r="D44" s="105" t="n">
        <v>0</v>
      </c>
      <c r="E44" s="135" t="n"/>
      <c r="F44" s="106" t="n"/>
      <c r="G44" s="106" t="n"/>
      <c r="H44" s="106" t="n"/>
      <c r="I44" s="106" t="n"/>
      <c r="J44" s="106" t="n"/>
    </row>
    <row r="45" ht="15" customHeight="1" s="67">
      <c r="A45" s="105" t="inlineStr">
        <is>
          <t>ZM</t>
        </is>
      </c>
      <c r="B45" s="105">
        <f>COUNTIF(B6:P6,"ZM")+COUNTIF(B12:R12,"ZM")</f>
        <v/>
      </c>
      <c r="C45" s="105">
        <f>B45*8</f>
        <v/>
      </c>
      <c r="D45" s="105" t="n">
        <v>0</v>
      </c>
      <c r="E45" s="136" t="n"/>
      <c r="F45" s="106" t="n"/>
      <c r="G45" s="106" t="n"/>
      <c r="H45" s="106" t="n"/>
      <c r="I45" s="106" t="n"/>
      <c r="J45" s="106" t="n"/>
    </row>
    <row r="46">
      <c r="A46" s="129" t="inlineStr">
        <is>
          <t>TOTAL</t>
        </is>
      </c>
      <c r="B46" s="129">
        <f>SUM(B39:B45)</f>
        <v/>
      </c>
      <c r="C46" s="129">
        <f>SUM(C39:C45)</f>
        <v/>
      </c>
      <c r="D46" s="129">
        <f>SUM(D39:D45)</f>
        <v/>
      </c>
      <c r="E46" s="129" t="n"/>
      <c r="F46" s="106" t="n"/>
      <c r="G46" s="106" t="n"/>
      <c r="H46" s="106" t="n"/>
      <c r="I46" s="106" t="n"/>
      <c r="J46" s="106" t="n"/>
    </row>
    <row r="47" ht="15" customHeight="1" s="67">
      <c r="A47" s="130" t="n"/>
      <c r="B47" s="130" t="n"/>
      <c r="C47" s="130" t="n"/>
      <c r="D47" s="130" t="n"/>
      <c r="E47" s="106" t="n"/>
      <c r="F47" s="106" t="n"/>
      <c r="G47" s="106" t="n"/>
      <c r="H47" s="106" t="n"/>
      <c r="I47" s="106" t="n"/>
      <c r="J47" s="106" t="n"/>
    </row>
    <row r="48" ht="15" customHeight="1" s="67">
      <c r="A48" s="137" t="inlineStr">
        <is>
          <t>Total Heures</t>
        </is>
      </c>
      <c r="B48" s="130" t="n"/>
      <c r="C48" s="137">
        <f>C36+C46</f>
        <v/>
      </c>
      <c r="D48" s="130" t="n"/>
      <c r="E48" s="106" t="n"/>
      <c r="F48" s="106" t="n"/>
      <c r="G48" s="106" t="n"/>
      <c r="H48" s="106" t="n"/>
      <c r="I48" s="106" t="n"/>
      <c r="J48" s="106" t="n"/>
    </row>
    <row r="49" ht="15" customHeight="1" s="67">
      <c r="A49" s="130" t="n"/>
      <c r="B49" s="130" t="n"/>
      <c r="C49" s="130" t="n"/>
      <c r="D49" s="130" t="n"/>
      <c r="E49" s="106" t="n"/>
      <c r="F49" s="106" t="n"/>
      <c r="G49" s="106" t="n"/>
      <c r="H49" s="106" t="n"/>
      <c r="I49" s="106" t="n"/>
      <c r="J49" s="106" t="n"/>
    </row>
    <row r="50" ht="15" customHeight="1" s="67">
      <c r="A50" s="130" t="n"/>
      <c r="B50" s="130" t="n"/>
      <c r="C50" s="130" t="n"/>
      <c r="D50" s="130" t="n"/>
      <c r="E50" s="106" t="n"/>
      <c r="F50" s="106" t="n"/>
      <c r="G50" s="106" t="n"/>
      <c r="H50" s="106" t="n"/>
      <c r="I50" s="106" t="n"/>
      <c r="J50" s="106" t="n"/>
    </row>
    <row r="51" ht="15" customHeight="1" s="67">
      <c r="A51" s="130" t="n"/>
      <c r="B51" s="130" t="n"/>
      <c r="C51" s="130" t="n"/>
      <c r="D51" s="130" t="n"/>
      <c r="E51" s="106" t="n"/>
      <c r="F51" s="106" t="n"/>
      <c r="G51" s="106" t="n"/>
      <c r="H51" s="106" t="n"/>
      <c r="I51" s="106" t="n"/>
      <c r="J51" s="106" t="n"/>
    </row>
    <row r="52">
      <c r="A52" s="138" t="inlineStr">
        <is>
          <t>CONTRÔLES PAR PÉRIODE - MARS</t>
        </is>
      </c>
      <c r="B52" s="106" t="n"/>
      <c r="C52" s="106" t="n"/>
      <c r="D52" s="106" t="n"/>
      <c r="E52" s="106" t="n"/>
      <c r="F52" s="106" t="n"/>
      <c r="G52" s="106" t="n"/>
      <c r="H52" s="106" t="n"/>
      <c r="I52" s="106" t="n"/>
      <c r="J52" s="106" t="n"/>
    </row>
    <row r="53" ht="15" customHeight="1" s="67">
      <c r="A53" s="130" t="n"/>
      <c r="B53" s="106" t="n"/>
      <c r="C53" s="106" t="n"/>
      <c r="D53" s="106" t="n"/>
      <c r="E53" s="106" t="n"/>
      <c r="F53" s="106" t="n"/>
      <c r="G53" s="106" t="n"/>
      <c r="H53" s="106" t="n"/>
      <c r="I53" s="106" t="n"/>
      <c r="J53" s="106" t="n"/>
    </row>
    <row r="54">
      <c r="A54" s="104" t="inlineStr">
        <is>
          <t>Période</t>
        </is>
      </c>
      <c r="B54" s="104" t="inlineStr">
        <is>
          <t>Heures</t>
        </is>
      </c>
      <c r="C54" s="104" t="inlineStr">
        <is>
          <t>CH</t>
        </is>
      </c>
      <c r="D54" s="104" t="inlineStr">
        <is>
          <t>RH</t>
        </is>
      </c>
      <c r="E54" s="104" t="inlineStr">
        <is>
          <t>CV</t>
        </is>
      </c>
      <c r="F54" s="104" t="inlineStr">
        <is>
          <t>RR</t>
        </is>
      </c>
      <c r="G54" s="104" t="inlineStr">
        <is>
          <t>Férié Trav.</t>
        </is>
      </c>
      <c r="H54" s="104" t="inlineStr">
        <is>
          <t>Statut</t>
        </is>
      </c>
      <c r="I54" s="106" t="n"/>
      <c r="J54" s="106" t="n"/>
    </row>
    <row r="55" ht="15" customHeight="1" s="67">
      <c r="A55" s="105" t="inlineStr">
        <is>
          <t>P2</t>
        </is>
      </c>
      <c r="B55" s="105">
        <f>(COUNTIF('Février'!J6:P6,"101") + COUNTIF('Février'!B12:N12,"101") + COUNTIF('Mars'!B6:I6,"101") + COUNTIF('Février'!J6:P6,"102") + COUNTIF('Février'!B12:N12,"102") + COUNTIF('Mars'!B6:I6,"102") + COUNTIF('Février'!J6:P6,"111") + COUNTIF('Février'!B12:N12,"111") + COUNTIF('Mars'!B6:I6,"111") + COUNTIF('Février'!J6:P6,"112") + COUNTIF('Février'!B12:N12,"112") + COUNTIF('Mars'!B6:I6,"112") + COUNTIF('Février'!J6:P6,"121") + COUNTIF('Février'!B12:N12,"121") + COUNTIF('Mars'!B6:I6,"121") + COUNTIF('Février'!J6:P6,"6101") + COUNTIF('Février'!B12:N12,"6101") + COUNTIF('Mars'!B6:I6,"6101") + COUNTIF('Février'!J6:P6,"6102") + COUNTIF('Février'!B12:N12,"6102") + COUNTIF('Mars'!B6:I6,"6102") + COUNTIF('Février'!J6:P6,"6111") + COUNTIF('Février'!B12:N12,"6111") + COUNTIF('Mars'!B6:I6,"6111") + COUNTIF('Février'!J6:P6,"6112") + COUNTIF('Février'!B12:N12,"6112") + COUNTIF('Mars'!B6:I6,"6112") + COUNTIF('Février'!J6:P6,"6121") + COUNTIF('Février'!B12:N12,"6121") + COUNTIF('Mars'!B6:I6,"6121") + COUNTIF('Février'!J6:P6,"7101") + COUNTIF('Février'!B12:N12,"7101") + COUNTIF('Mars'!B6:I6,"7101") + COUNTIF('Février'!J6:P6,"7102") + COUNTIF('Février'!B12:N12,"7102") + COUNTIF('Mars'!B6:I6,"7102") + COUNTIF('Février'!J6:P6,"7111") + COUNTIF('Février'!B12:N12,"7111") + COUNTIF('Mars'!B6:I6,"7111") + COUNTIF('Février'!J6:P6,"7112") + COUNTIF('Février'!B12:N12,"7112") + COUNTIF('Mars'!B6:I6,"7112") + COUNTIF('Février'!J6:P6,"7121") + COUNTIF('Février'!B12:N12,"7121") + COUNTIF('Mars'!B6:I6,"7121") + COUNTIF('Février'!J6:P6,"X_AM") + COUNTIF('Février'!B12:N12,"X_AM") + COUNTIF('Mars'!B6:I6,"X_AM") + COUNTIF('Février'!J6:P6,"X_PM") + COUNTIF('Février'!B12:N12,"X_PM") + COUNTIF('Mars'!B6:I6,"X_PM") + COUNTIF('Février'!J6:P6,"X_10") + COUNTIF('Février'!B12:N12,"X_10") + COUNTIF('Mars'!B6:I6,"X_10") + COUNTIF('Février'!J6:P6,"AG") + COUNTIF('Février'!B12:N12,"AG") + COUNTIF('Mars'!B6:I6,"AG") + COUNTIF('Février'!J6:P6,"CN") + COUNTIF('Février'!B12:N12,"CN") + COUNTIF('Mars'!B6:I6,"CN") + COUNTIF('Février'!J6:P6,"JC") + COUNTIF('Février'!B12:N12,"JC") + COUNTIF('Mars'!B6:I6,"JC") + COUNTIF('Février'!J6:P6,"RR") + COUNTIF('Février'!B12:N12,"RR") + COUNTIF('Mars'!B6:I6,"RR") + COUNTIF('Février'!J6:P6,"ZM") + COUNTIF('Février'!B12:N12,"ZM") + COUNTIF('Mars'!B6:I6,"ZM") + COUNTIF('Février'!J6:P6,"CV") + COUNTIF('Février'!B12:N12,"CV") + COUNTIF('Mars'!B6:I6,"CV"))*8</f>
        <v/>
      </c>
      <c r="C55" s="105">
        <f>COUNTIF('Février'!J6:P6,"CH")+COUNTIF('Février'!B12:N12,"CH")+COUNTIF('Mars'!B6:I6,"CH")</f>
        <v/>
      </c>
      <c r="D55" s="105">
        <f>COUNTIF('Février'!J6:P6,"RH")+COUNTIF('Février'!B12:N12,"RH")+COUNTIF('Mars'!B6:I6,"RH")</f>
        <v/>
      </c>
      <c r="E55" s="105">
        <f>COUNTIF('Février'!J6:P6,"CV")+COUNTIF('Février'!B12:N12,"CV")+COUNTIF('Mars'!B6:I6,"CV")</f>
        <v/>
      </c>
      <c r="F55" s="105">
        <f>COUNTIF('Février'!J6:P6,"RR")+COUNTIF('Février'!B12:N12,"RR")+COUNTIF('Mars'!B6:I6,"RR")</f>
        <v/>
      </c>
      <c r="G55" s="105" t="n">
        <v>0</v>
      </c>
      <c r="H55" s="105">
        <f>IF(B55&gt;160,"⚠ &gt;160h",IF(C55&lt;&gt;4,"⚠ CH≠4",IF(D55&lt;&gt;4,"⚠ RH≠4",IF(E55&lt;&gt;1,"⚠ CV≠1",IF(AND(G55&gt;0,F55=0),"⚠ RR manquant","✓ OK")))))</f>
        <v/>
      </c>
      <c r="I55" s="106" t="n"/>
      <c r="J55" s="106" t="n"/>
    </row>
    <row r="56" ht="15" customHeight="1" s="67">
      <c r="A56" s="105" t="inlineStr">
        <is>
          <t>P3</t>
        </is>
      </c>
      <c r="B56" s="105">
        <f>(COUNTIF('Mars'!J6:P6,"101") + COUNTIF('Mars'!B12:Q12,"101") + COUNTIF('Avril'!B6:F6,"101") + COUNTIF('Mars'!J6:P6,"102") + COUNTIF('Mars'!B12:Q12,"102") + COUNTIF('Avril'!B6:F6,"102") + COUNTIF('Mars'!J6:P6,"111") + COUNTIF('Mars'!B12:Q12,"111") + COUNTIF('Avril'!B6:F6,"111") + COUNTIF('Mars'!J6:P6,"112") + COUNTIF('Mars'!B12:Q12,"112") + COUNTIF('Avril'!B6:F6,"112") + COUNTIF('Mars'!J6:P6,"121") + COUNTIF('Mars'!B12:Q12,"121") + COUNTIF('Avril'!B6:F6,"121") + COUNTIF('Mars'!J6:P6,"6101") + COUNTIF('Mars'!B12:Q12,"6101") + COUNTIF('Avril'!B6:F6,"6101") + COUNTIF('Mars'!J6:P6,"6102") + COUNTIF('Mars'!B12:Q12,"6102") + COUNTIF('Avril'!B6:F6,"6102") + COUNTIF('Mars'!J6:P6,"6111") + COUNTIF('Mars'!B12:Q12,"6111") + COUNTIF('Avril'!B6:F6,"6111") + COUNTIF('Mars'!J6:P6,"6112") + COUNTIF('Mars'!B12:Q12,"6112") + COUNTIF('Avril'!B6:F6,"6112") + COUNTIF('Mars'!J6:P6,"6121") + COUNTIF('Mars'!B12:Q12,"6121") + COUNTIF('Avril'!B6:F6,"6121") + COUNTIF('Mars'!J6:P6,"7101") + COUNTIF('Mars'!B12:Q12,"7101") + COUNTIF('Avril'!B6:F6,"7101") + COUNTIF('Mars'!J6:P6,"7102") + COUNTIF('Mars'!B12:Q12,"7102") + COUNTIF('Avril'!B6:F6,"7102") + COUNTIF('Mars'!J6:P6,"7111") + COUNTIF('Mars'!B12:Q12,"7111") + COUNTIF('Avril'!B6:F6,"7111") + COUNTIF('Mars'!J6:P6,"7112") + COUNTIF('Mars'!B12:Q12,"7112") + COUNTIF('Avril'!B6:F6,"7112") + COUNTIF('Mars'!J6:P6,"7121") + COUNTIF('Mars'!B12:Q12,"7121") + COUNTIF('Avril'!B6:F6,"7121") + COUNTIF('Mars'!J6:P6,"X_AM") + COUNTIF('Mars'!B12:Q12,"X_AM") + COUNTIF('Avril'!B6:F6,"X_AM") + COUNTIF('Mars'!J6:P6,"X_PM") + COUNTIF('Mars'!B12:Q12,"X_PM") + COUNTIF('Avril'!B6:F6,"X_PM") + COUNTIF('Mars'!J6:P6,"X_10") + COUNTIF('Mars'!B12:Q12,"X_10") + COUNTIF('Avril'!B6:F6,"X_10") + COUNTIF('Mars'!J6:P6,"AG") + COUNTIF('Mars'!B12:Q12,"AG") + COUNTIF('Avril'!B6:F6,"AG") + COUNTIF('Mars'!J6:P6,"CN") + COUNTIF('Mars'!B12:Q12,"CN") + COUNTIF('Avril'!B6:F6,"CN") + COUNTIF('Mars'!J6:P6,"JC") + COUNTIF('Mars'!B12:Q12,"JC") + COUNTIF('Avril'!B6:F6,"JC") + COUNTIF('Mars'!J6:P6,"RR") + COUNTIF('Mars'!B12:Q12,"RR") + COUNTIF('Avril'!B6:F6,"RR") + COUNTIF('Mars'!J6:P6,"ZM") + COUNTIF('Mars'!B12:Q12,"ZM") + COUNTIF('Avril'!B6:F6,"ZM") + COUNTIF('Mars'!J6:P6,"CV") + COUNTIF('Mars'!B12:Q12,"CV") + COUNTIF('Avril'!B6:F6,"CV"))*8</f>
        <v/>
      </c>
      <c r="C56" s="105">
        <f>COUNTIF('Mars'!J6:P6,"CH")+COUNTIF('Mars'!B12:Q12,"CH")+COUNTIF('Avril'!B6:F6,"CH")</f>
        <v/>
      </c>
      <c r="D56" s="105">
        <f>COUNTIF('Mars'!J6:P6,"RH")+COUNTIF('Mars'!B12:Q12,"RH")+COUNTIF('Avril'!B6:F6,"RH")</f>
        <v/>
      </c>
      <c r="E56" s="105">
        <f>COUNTIF('Mars'!J6:P6,"CV")+COUNTIF('Mars'!B12:Q12,"CV")+COUNTIF('Avril'!B6:F6,"CV")</f>
        <v/>
      </c>
      <c r="F56" s="105">
        <f>COUNTIF('Mars'!J6:P6,"RR")+COUNTIF('Mars'!B12:Q12,"RR")+COUNTIF('Avril'!B6:F6,"RR")</f>
        <v/>
      </c>
      <c r="G56" s="105" t="n">
        <v>0</v>
      </c>
      <c r="H56" s="105">
        <f>IF(B56&gt;160,"⚠ &gt;160h",IF(C56&lt;&gt;4,"⚠ CH≠4",IF(D56&lt;&gt;4,"⚠ RH≠4",IF(E56&lt;&gt;1,"⚠ CV≠1",IF(AND(G56&gt;0,F56=0),"⚠ RR manquant","✓ OK")))))</f>
        <v/>
      </c>
      <c r="I56" s="106" t="n"/>
      <c r="J56" s="106" t="n"/>
    </row>
    <row r="57" ht="15" customHeight="1" s="67">
      <c r="A57" s="130" t="n"/>
      <c r="B57" s="130" t="n"/>
      <c r="C57" s="130" t="n"/>
      <c r="D57" s="130" t="n"/>
      <c r="E57" s="106" t="n"/>
      <c r="F57" s="106" t="n"/>
      <c r="G57" s="106" t="n"/>
      <c r="H57" s="106" t="n"/>
      <c r="I57" s="106" t="n"/>
      <c r="J57" s="106" t="n"/>
    </row>
    <row r="58">
      <c r="A58" s="106" t="n"/>
      <c r="B58" s="106" t="n"/>
      <c r="C58" s="106" t="n"/>
      <c r="D58" s="106" t="n"/>
      <c r="E58" s="106" t="n"/>
      <c r="F58" s="106" t="n"/>
      <c r="G58" s="106" t="n"/>
      <c r="H58" s="106" t="n"/>
      <c r="I58" s="106" t="n"/>
      <c r="J58" s="106" t="n"/>
    </row>
    <row r="59">
      <c r="A59" s="106" t="n"/>
      <c r="B59" s="106" t="n"/>
      <c r="C59" s="106" t="n"/>
      <c r="D59" s="106" t="n"/>
      <c r="E59" s="106" t="n"/>
      <c r="F59" s="106" t="n"/>
      <c r="G59" s="106" t="n"/>
      <c r="H59" s="106" t="n"/>
      <c r="I59" s="106" t="n"/>
      <c r="J59" s="106" t="n"/>
    </row>
    <row r="60">
      <c r="A60" s="106" t="n"/>
      <c r="B60" s="106" t="n"/>
      <c r="C60" s="106" t="n"/>
      <c r="D60" s="106" t="n"/>
      <c r="E60" s="106" t="n"/>
      <c r="F60" s="106" t="n"/>
      <c r="G60" s="106" t="n"/>
      <c r="H60" s="106" t="n"/>
      <c r="I60" s="106" t="n"/>
      <c r="J60" s="106" t="n"/>
    </row>
    <row r="61">
      <c r="A61" s="106" t="n"/>
      <c r="B61" s="106" t="n"/>
      <c r="C61" s="106" t="n"/>
      <c r="D61" s="106" t="n"/>
      <c r="E61" s="106" t="n"/>
      <c r="F61" s="106" t="n"/>
      <c r="G61" s="106" t="n"/>
      <c r="H61" s="106" t="n"/>
      <c r="I61" s="106" t="n"/>
      <c r="J61" s="106" t="n"/>
    </row>
    <row r="62">
      <c r="A62" s="106" t="n"/>
      <c r="B62" s="106" t="n"/>
      <c r="C62" s="106" t="n"/>
      <c r="D62" s="106" t="n"/>
      <c r="E62" s="106" t="n"/>
      <c r="F62" s="106" t="n"/>
      <c r="G62" s="106" t="n"/>
      <c r="H62" s="106" t="n"/>
      <c r="I62" s="106" t="n"/>
      <c r="J62" s="106" t="n"/>
    </row>
    <row r="63">
      <c r="A63" s="106" t="n"/>
      <c r="B63" s="106" t="n"/>
      <c r="C63" s="106" t="n"/>
      <c r="D63" s="106" t="n"/>
      <c r="E63" s="106" t="n"/>
      <c r="F63" s="106" t="n"/>
      <c r="G63" s="106" t="n"/>
      <c r="H63" s="106" t="n"/>
      <c r="I63" s="106" t="n"/>
      <c r="J63" s="106" t="n"/>
    </row>
    <row r="64">
      <c r="A64" s="106" t="n"/>
      <c r="B64" s="106" t="n"/>
      <c r="C64" s="106" t="n"/>
      <c r="D64" s="106" t="n"/>
      <c r="E64" s="106" t="n"/>
      <c r="F64" s="106" t="n"/>
      <c r="G64" s="106" t="n"/>
      <c r="H64" s="106" t="n"/>
      <c r="I64" s="106" t="n"/>
      <c r="J64" s="106" t="n"/>
    </row>
    <row r="65">
      <c r="A65" s="106" t="n"/>
      <c r="B65" s="106" t="n"/>
      <c r="C65" s="106" t="n"/>
      <c r="D65" s="106" t="n"/>
      <c r="E65" s="106" t="n"/>
      <c r="F65" s="106" t="n"/>
      <c r="G65" s="106" t="n"/>
      <c r="H65" s="106" t="n"/>
      <c r="I65" s="106" t="n"/>
      <c r="J65" s="106" t="n"/>
    </row>
    <row r="66">
      <c r="A66" s="106" t="n"/>
      <c r="B66" s="106" t="n"/>
      <c r="C66" s="106" t="n"/>
      <c r="D66" s="106" t="n"/>
      <c r="E66" s="106" t="n"/>
      <c r="F66" s="106" t="n"/>
      <c r="G66" s="106" t="n"/>
      <c r="H66" s="106" t="n"/>
      <c r="I66" s="106" t="n"/>
      <c r="J66" s="106" t="n"/>
    </row>
    <row r="67">
      <c r="A67" s="106" t="n"/>
      <c r="B67" s="106" t="n"/>
      <c r="C67" s="106" t="n"/>
      <c r="D67" s="106" t="n"/>
      <c r="E67" s="106" t="n"/>
      <c r="F67" s="106" t="n"/>
      <c r="G67" s="106" t="n"/>
      <c r="H67" s="106" t="n"/>
      <c r="I67" s="106" t="n"/>
      <c r="J67" s="106" t="n"/>
    </row>
    <row r="68">
      <c r="A68" s="106" t="n"/>
      <c r="B68" s="106" t="n"/>
      <c r="C68" s="106" t="n"/>
      <c r="D68" s="106" t="n"/>
      <c r="E68" s="106" t="n"/>
      <c r="F68" s="106" t="n"/>
      <c r="G68" s="106" t="n"/>
      <c r="H68" s="106" t="n"/>
      <c r="I68" s="106" t="n"/>
      <c r="J68" s="106" t="n"/>
    </row>
    <row r="69">
      <c r="A69" s="106" t="n"/>
      <c r="B69" s="106" t="n"/>
      <c r="C69" s="106" t="n"/>
      <c r="D69" s="106" t="n"/>
      <c r="E69" s="106" t="n"/>
      <c r="F69" s="106" t="n"/>
      <c r="G69" s="106" t="n"/>
      <c r="H69" s="106" t="n"/>
      <c r="I69" s="106" t="n"/>
      <c r="J69" s="106" t="n"/>
    </row>
    <row r="70">
      <c r="A70" s="106" t="n"/>
      <c r="B70" s="106" t="n"/>
      <c r="C70" s="106" t="n"/>
      <c r="D70" s="106" t="n"/>
      <c r="E70" s="106" t="n"/>
      <c r="F70" s="106" t="n"/>
      <c r="G70" s="106" t="n"/>
      <c r="H70" s="106" t="n"/>
      <c r="I70" s="106" t="n"/>
      <c r="J70" s="106" t="n"/>
    </row>
    <row r="71">
      <c r="A71" s="106" t="n"/>
      <c r="B71" s="106" t="n"/>
      <c r="C71" s="106" t="n"/>
      <c r="D71" s="106" t="n"/>
      <c r="E71" s="106" t="n"/>
      <c r="F71" s="106" t="n"/>
      <c r="G71" s="106" t="n"/>
      <c r="H71" s="106" t="n"/>
      <c r="I71" s="106" t="n"/>
      <c r="J71" s="106" t="n"/>
    </row>
    <row r="72">
      <c r="A72" s="106" t="n"/>
      <c r="B72" s="106" t="n"/>
      <c r="C72" s="106" t="n"/>
      <c r="D72" s="106" t="n"/>
      <c r="E72" s="106" t="n"/>
      <c r="F72" s="106" t="n"/>
      <c r="G72" s="106" t="n"/>
      <c r="H72" s="106" t="n"/>
      <c r="I72" s="106" t="n"/>
      <c r="J72" s="106" t="n"/>
    </row>
    <row r="73">
      <c r="A73" s="106" t="n"/>
      <c r="B73" s="106" t="n"/>
      <c r="C73" s="106" t="n"/>
      <c r="D73" s="106" t="n"/>
      <c r="E73" s="106" t="n"/>
      <c r="F73" s="106" t="n"/>
      <c r="G73" s="106" t="n"/>
      <c r="H73" s="106" t="n"/>
      <c r="I73" s="106" t="n"/>
      <c r="J73" s="106" t="n"/>
    </row>
    <row r="74">
      <c r="A74" s="106" t="n"/>
      <c r="B74" s="106" t="n"/>
      <c r="C74" s="106" t="n"/>
      <c r="D74" s="106" t="n"/>
      <c r="E74" s="106" t="n"/>
      <c r="F74" s="106" t="n"/>
      <c r="G74" s="106" t="n"/>
      <c r="H74" s="106" t="n"/>
      <c r="I74" s="106" t="n"/>
      <c r="J74" s="106" t="n"/>
    </row>
    <row r="75">
      <c r="A75" s="106" t="n"/>
      <c r="B75" s="106" t="n"/>
      <c r="C75" s="106" t="n"/>
      <c r="D75" s="106" t="n"/>
      <c r="E75" s="106" t="n"/>
      <c r="F75" s="106" t="n"/>
      <c r="G75" s="106" t="n"/>
      <c r="H75" s="106" t="n"/>
      <c r="I75" s="106" t="n"/>
      <c r="J75" s="106" t="n"/>
    </row>
    <row r="76">
      <c r="A76" s="106" t="n"/>
      <c r="B76" s="106" t="n"/>
      <c r="C76" s="106" t="n"/>
      <c r="D76" s="106" t="n"/>
      <c r="E76" s="106" t="n"/>
      <c r="F76" s="106" t="n"/>
      <c r="G76" s="106" t="n"/>
      <c r="H76" s="106" t="n"/>
      <c r="I76" s="106" t="n"/>
      <c r="J76" s="106" t="n"/>
    </row>
    <row r="77">
      <c r="A77" s="106" t="n"/>
      <c r="B77" s="106" t="n"/>
      <c r="C77" s="106" t="n"/>
      <c r="D77" s="106" t="n"/>
      <c r="E77" s="106" t="n"/>
      <c r="F77" s="106" t="n"/>
      <c r="G77" s="106" t="n"/>
      <c r="H77" s="106" t="n"/>
      <c r="I77" s="106" t="n"/>
      <c r="J77" s="106" t="n"/>
    </row>
    <row r="78">
      <c r="A78" s="106" t="n"/>
      <c r="B78" s="106" t="n"/>
      <c r="C78" s="106" t="n"/>
      <c r="D78" s="106" t="n"/>
      <c r="E78" s="106" t="n"/>
      <c r="F78" s="106" t="n"/>
      <c r="G78" s="106" t="n"/>
      <c r="H78" s="106" t="n"/>
      <c r="I78" s="106" t="n"/>
      <c r="J78" s="106" t="n"/>
    </row>
    <row r="79">
      <c r="A79" s="106" t="n"/>
      <c r="B79" s="106" t="n"/>
      <c r="C79" s="106" t="n"/>
      <c r="D79" s="106" t="n"/>
      <c r="E79" s="106" t="n"/>
      <c r="F79" s="106" t="n"/>
      <c r="G79" s="106" t="n"/>
      <c r="H79" s="106" t="n"/>
      <c r="I79" s="106" t="n"/>
      <c r="J79" s="106" t="n"/>
    </row>
    <row r="80">
      <c r="A80" s="106" t="n"/>
      <c r="B80" s="106" t="n"/>
      <c r="C80" s="106" t="n"/>
      <c r="D80" s="106" t="n"/>
      <c r="E80" s="106" t="n"/>
      <c r="F80" s="106" t="n"/>
      <c r="G80" s="106" t="n"/>
      <c r="H80" s="106" t="n"/>
      <c r="I80" s="106" t="n"/>
      <c r="J80" s="106" t="n"/>
    </row>
    <row r="81">
      <c r="A81" s="106" t="n"/>
      <c r="B81" s="106" t="n"/>
      <c r="C81" s="106" t="n"/>
      <c r="D81" s="106" t="n"/>
      <c r="E81" s="106" t="n"/>
      <c r="F81" s="106" t="n"/>
      <c r="G81" s="106" t="n"/>
      <c r="H81" s="106" t="n"/>
      <c r="I81" s="106" t="n"/>
      <c r="J81" s="106" t="n"/>
    </row>
    <row r="82">
      <c r="A82" s="106" t="n"/>
      <c r="B82" s="106" t="n"/>
      <c r="C82" s="106" t="n"/>
      <c r="D82" s="106" t="n"/>
      <c r="E82" s="106" t="n"/>
      <c r="F82" s="106" t="n"/>
      <c r="G82" s="106" t="n"/>
      <c r="H82" s="106" t="n"/>
      <c r="I82" s="106" t="n"/>
      <c r="J82" s="106" t="n"/>
    </row>
    <row r="83">
      <c r="A83" s="106" t="n"/>
      <c r="B83" s="106" t="n"/>
      <c r="C83" s="106" t="n"/>
      <c r="D83" s="106" t="n"/>
      <c r="E83" s="106" t="n"/>
      <c r="F83" s="106" t="n"/>
      <c r="G83" s="106" t="n"/>
      <c r="H83" s="106" t="n"/>
      <c r="I83" s="106" t="n"/>
      <c r="J83" s="106" t="n"/>
    </row>
    <row r="84">
      <c r="A84" s="106" t="n"/>
      <c r="B84" s="106" t="n"/>
      <c r="C84" s="106" t="n"/>
      <c r="D84" s="106" t="n"/>
      <c r="E84" s="106" t="n"/>
      <c r="F84" s="106" t="n"/>
      <c r="G84" s="106" t="n"/>
      <c r="H84" s="106" t="n"/>
      <c r="I84" s="106" t="n"/>
      <c r="J84" s="106" t="n"/>
    </row>
    <row r="85">
      <c r="A85" s="106" t="n"/>
      <c r="B85" s="106" t="n"/>
      <c r="C85" s="106" t="n"/>
      <c r="D85" s="106" t="n"/>
      <c r="E85" s="106" t="n"/>
      <c r="F85" s="106" t="n"/>
      <c r="G85" s="106" t="n"/>
      <c r="H85" s="106" t="n"/>
      <c r="I85" s="106" t="n"/>
      <c r="J85" s="106" t="n"/>
    </row>
    <row r="86">
      <c r="A86" s="106" t="n"/>
      <c r="B86" s="106" t="n"/>
      <c r="C86" s="106" t="n"/>
      <c r="D86" s="106" t="n"/>
      <c r="E86" s="106" t="n"/>
      <c r="F86" s="106" t="n"/>
      <c r="G86" s="106" t="n"/>
      <c r="H86" s="106" t="n"/>
      <c r="I86" s="106" t="n"/>
      <c r="J86" s="106" t="n"/>
    </row>
    <row r="87">
      <c r="A87" s="106" t="n"/>
      <c r="B87" s="106" t="n"/>
      <c r="C87" s="106" t="n"/>
      <c r="D87" s="106" t="n"/>
      <c r="E87" s="106" t="n"/>
      <c r="F87" s="106" t="n"/>
      <c r="G87" s="106" t="n"/>
      <c r="H87" s="106" t="n"/>
      <c r="I87" s="106" t="n"/>
      <c r="J87" s="106" t="n"/>
    </row>
    <row r="88">
      <c r="A88" s="106" t="n"/>
      <c r="B88" s="106" t="n"/>
      <c r="C88" s="106" t="n"/>
      <c r="D88" s="106" t="n"/>
      <c r="E88" s="106" t="n"/>
      <c r="F88" s="106" t="n"/>
      <c r="G88" s="106" t="n"/>
      <c r="H88" s="106" t="n"/>
      <c r="I88" s="106" t="n"/>
      <c r="J88" s="106" t="n"/>
    </row>
    <row r="89">
      <c r="A89" s="106" t="n"/>
      <c r="B89" s="106" t="n"/>
      <c r="C89" s="106" t="n"/>
      <c r="D89" s="106" t="n"/>
      <c r="E89" s="106" t="n"/>
      <c r="F89" s="106" t="n"/>
      <c r="G89" s="106" t="n"/>
      <c r="H89" s="106" t="n"/>
      <c r="I89" s="106" t="n"/>
      <c r="J89" s="106" t="n"/>
    </row>
    <row r="90">
      <c r="A90" s="106" t="n"/>
      <c r="B90" s="106" t="n"/>
      <c r="C90" s="106" t="n"/>
      <c r="D90" s="106" t="n"/>
      <c r="E90" s="106" t="n"/>
      <c r="F90" s="106" t="n"/>
      <c r="G90" s="106" t="n"/>
      <c r="H90" s="106" t="n"/>
      <c r="I90" s="106" t="n"/>
      <c r="J90" s="106" t="n"/>
    </row>
    <row r="91">
      <c r="A91" s="106" t="n"/>
      <c r="B91" s="106" t="n"/>
      <c r="C91" s="106" t="n"/>
      <c r="D91" s="106" t="n"/>
      <c r="E91" s="106" t="n"/>
      <c r="F91" s="106" t="n"/>
      <c r="G91" s="106" t="n"/>
      <c r="H91" s="106" t="n"/>
      <c r="I91" s="106" t="n"/>
      <c r="J91" s="106" t="n"/>
    </row>
    <row r="92">
      <c r="A92" s="106" t="n"/>
      <c r="B92" s="106" t="n"/>
      <c r="C92" s="106" t="n"/>
      <c r="D92" s="106" t="n"/>
      <c r="E92" s="106" t="n"/>
      <c r="F92" s="106" t="n"/>
      <c r="G92" s="106" t="n"/>
      <c r="H92" s="106" t="n"/>
      <c r="I92" s="106" t="n"/>
      <c r="J92" s="106" t="n"/>
    </row>
    <row r="93">
      <c r="A93" s="106" t="n"/>
      <c r="B93" s="106" t="n"/>
      <c r="C93" s="106" t="n"/>
      <c r="D93" s="106" t="n"/>
      <c r="E93" s="106" t="n"/>
      <c r="F93" s="106" t="n"/>
      <c r="G93" s="106" t="n"/>
      <c r="H93" s="106" t="n"/>
      <c r="I93" s="106" t="n"/>
      <c r="J93" s="106" t="n"/>
    </row>
    <row r="94">
      <c r="A94" s="106" t="n"/>
      <c r="B94" s="106" t="n"/>
      <c r="C94" s="106" t="n"/>
      <c r="D94" s="106" t="n"/>
      <c r="E94" s="106" t="n"/>
      <c r="F94" s="106" t="n"/>
      <c r="G94" s="106" t="n"/>
      <c r="H94" s="106" t="n"/>
      <c r="I94" s="106" t="n"/>
      <c r="J94" s="106" t="n"/>
    </row>
    <row r="95">
      <c r="A95" s="106" t="n"/>
      <c r="B95" s="106" t="n"/>
      <c r="C95" s="106" t="n"/>
      <c r="D95" s="106" t="n"/>
      <c r="E95" s="106" t="n"/>
      <c r="F95" s="106" t="n"/>
      <c r="G95" s="106" t="n"/>
      <c r="H95" s="106" t="n"/>
      <c r="I95" s="106" t="n"/>
      <c r="J95" s="106" t="n"/>
    </row>
    <row r="96">
      <c r="A96" s="106" t="n"/>
      <c r="B96" s="106" t="n"/>
      <c r="C96" s="106" t="n"/>
      <c r="D96" s="106" t="n"/>
      <c r="E96" s="106" t="n"/>
      <c r="F96" s="106" t="n"/>
      <c r="G96" s="106" t="n"/>
      <c r="H96" s="106" t="n"/>
      <c r="I96" s="106" t="n"/>
      <c r="J96" s="106" t="n"/>
    </row>
    <row r="97">
      <c r="A97" s="106" t="n"/>
      <c r="B97" s="106" t="n"/>
      <c r="C97" s="106" t="n"/>
      <c r="D97" s="106" t="n"/>
      <c r="E97" s="106" t="n"/>
      <c r="F97" s="106" t="n"/>
      <c r="G97" s="106" t="n"/>
      <c r="H97" s="106" t="n"/>
      <c r="I97" s="106" t="n"/>
      <c r="J97" s="106" t="n"/>
    </row>
    <row r="98">
      <c r="A98" s="106" t="n"/>
      <c r="B98" s="106" t="n"/>
      <c r="C98" s="106" t="n"/>
      <c r="D98" s="106" t="n"/>
      <c r="E98" s="106" t="n"/>
      <c r="F98" s="106" t="n"/>
      <c r="G98" s="106" t="n"/>
      <c r="H98" s="106" t="n"/>
      <c r="I98" s="106" t="n"/>
      <c r="J98" s="106" t="n"/>
    </row>
    <row r="99">
      <c r="A99" s="106" t="n"/>
      <c r="B99" s="106" t="n"/>
      <c r="C99" s="106" t="n"/>
      <c r="D99" s="106" t="n"/>
      <c r="E99" s="106" t="n"/>
      <c r="F99" s="106" t="n"/>
      <c r="G99" s="106" t="n"/>
      <c r="H99" s="106" t="n"/>
      <c r="I99" s="106" t="n"/>
      <c r="J99" s="106" t="n"/>
    </row>
    <row r="100">
      <c r="A100" s="106" t="n"/>
      <c r="B100" s="106" t="n"/>
      <c r="C100" s="106" t="n"/>
      <c r="D100" s="106" t="n"/>
      <c r="E100" s="106" t="n"/>
      <c r="F100" s="106" t="n"/>
      <c r="G100" s="106" t="n"/>
      <c r="H100" s="106" t="n"/>
      <c r="I100" s="106" t="n"/>
      <c r="J100" s="106" t="n"/>
    </row>
  </sheetData>
  <mergeCells count="1">
    <mergeCell ref="A1:P1"/>
  </mergeCells>
  <conditionalFormatting sqref="B6:P6 B12:Q12">
    <cfRule type="cellIs" rank="0" priority="2" equalAverage="0" operator="equal" aboveAverage="0" dxfId="0" text="" percent="0" bottom="0">
      <formula>101</formula>
    </cfRule>
    <cfRule type="cellIs" rank="0" priority="3" equalAverage="0" operator="equal" aboveAverage="0" dxfId="1" text="" percent="0" bottom="0">
      <formula>102</formula>
    </cfRule>
    <cfRule type="cellIs" rank="0" priority="4" equalAverage="0" operator="equal" aboveAverage="0" dxfId="2" text="" percent="0" bottom="0">
      <formula>111</formula>
    </cfRule>
    <cfRule type="cellIs" rank="0" priority="5" equalAverage="0" operator="equal" aboveAverage="0" dxfId="3" text="" percent="0" bottom="0">
      <formula>112</formula>
    </cfRule>
    <cfRule type="cellIs" rank="0" priority="6" equalAverage="0" operator="equal" aboveAverage="0" dxfId="4" text="" percent="0" bottom="0">
      <formula>121</formula>
    </cfRule>
    <cfRule type="cellIs" rank="0" priority="7" equalAverage="0" operator="equal" aboveAverage="0" dxfId="0" text="" percent="0" bottom="0">
      <formula>6101</formula>
    </cfRule>
    <cfRule type="cellIs" rank="0" priority="8" equalAverage="0" operator="equal" aboveAverage="0" dxfId="1" text="" percent="0" bottom="0">
      <formula>6102</formula>
    </cfRule>
    <cfRule type="cellIs" rank="0" priority="9" equalAverage="0" operator="equal" aboveAverage="0" dxfId="2" text="" percent="0" bottom="0">
      <formula>6111</formula>
    </cfRule>
    <cfRule type="cellIs" rank="0" priority="10" equalAverage="0" operator="equal" aboveAverage="0" dxfId="3" text="" percent="0" bottom="0">
      <formula>6112</formula>
    </cfRule>
    <cfRule type="cellIs" rank="0" priority="11" equalAverage="0" operator="equal" aboveAverage="0" dxfId="4" text="" percent="0" bottom="0">
      <formula>6121</formula>
    </cfRule>
    <cfRule type="cellIs" rank="0" priority="12" equalAverage="0" operator="equal" aboveAverage="0" dxfId="0" text="" percent="0" bottom="0">
      <formula>7101</formula>
    </cfRule>
    <cfRule type="cellIs" rank="0" priority="13" equalAverage="0" operator="equal" aboveAverage="0" dxfId="1" text="" percent="0" bottom="0">
      <formula>7102</formula>
    </cfRule>
    <cfRule type="cellIs" rank="0" priority="14" equalAverage="0" operator="equal" aboveAverage="0" dxfId="2" text="" percent="0" bottom="0">
      <formula>7111</formula>
    </cfRule>
    <cfRule type="cellIs" rank="0" priority="15" equalAverage="0" operator="equal" aboveAverage="0" dxfId="3" text="" percent="0" bottom="0">
      <formula>7112</formula>
    </cfRule>
    <cfRule type="cellIs" rank="0" priority="16" equalAverage="0" operator="equal" aboveAverage="0" dxfId="4" text="" percent="0" bottom="0">
      <formula>7121</formula>
    </cfRule>
    <cfRule type="cellIs" rank="0" priority="17" equalAverage="0" operator="equal" aboveAverage="0" dxfId="5" text="" percent="0" bottom="0">
      <formula>"X_AM"</formula>
    </cfRule>
    <cfRule type="cellIs" rank="0" priority="18" equalAverage="0" operator="equal" aboveAverage="0" dxfId="5" text="" percent="0" bottom="0">
      <formula>"X_PM"</formula>
    </cfRule>
    <cfRule type="cellIs" rank="0" priority="19" equalAverage="0" operator="equal" aboveAverage="0" dxfId="6" text="" percent="0" bottom="0">
      <formula>"X_10"</formula>
    </cfRule>
    <cfRule type="cellIs" rank="0" priority="20" equalAverage="0" operator="equal" aboveAverage="0" dxfId="7" text="" percent="0" bottom="0">
      <formula>"CN"</formula>
    </cfRule>
    <cfRule type="cellIs" rank="0" priority="21" equalAverage="0" operator="equal" aboveAverage="0" dxfId="7" text="" percent="0" bottom="0">
      <formula>"JC"</formula>
    </cfRule>
    <cfRule type="cellIs" rank="0" priority="22" equalAverage="0" operator="equal" aboveAverage="0" dxfId="8" text="" percent="0" bottom="0">
      <formula>"RH"</formula>
    </cfRule>
    <cfRule type="cellIs" rank="0" priority="23" equalAverage="0" operator="equal" aboveAverage="0" dxfId="9" text="" percent="0" bottom="0">
      <formula>"CH"</formula>
    </cfRule>
    <cfRule type="cellIs" rank="0" priority="24" equalAverage="0" operator="equal" aboveAverage="0" dxfId="10" text="" percent="0" bottom="0">
      <formula>"RR"</formula>
    </cfRule>
    <cfRule type="cellIs" rank="0" priority="25" equalAverage="0" operator="equal" aboveAverage="0" dxfId="11" text="" percent="0" bottom="0">
      <formula>"ZM"</formula>
    </cfRule>
  </conditionalFormatting>
  <conditionalFormatting sqref="B56 B57">
    <cfRule type="cellIs" rank="0" priority="26" equalAverage="0" operator="greaterThan" aboveAverage="0" dxfId="12" text="" percent="0" bottom="0">
      <formula>160</formula>
    </cfRule>
  </conditionalFormatting>
  <conditionalFormatting sqref="B6:Q6">
    <cfRule type="cellIs" priority="26" operator="equal" dxfId="13">
      <formula>"CV"</formula>
    </cfRule>
    <cfRule type="cellIs" priority="27" operator="equal" dxfId="14">
      <formula>"AG"</formula>
    </cfRule>
  </conditionalFormatting>
  <conditionalFormatting sqref="B12:R12">
    <cfRule type="cellIs" priority="28" operator="equal" dxfId="13">
      <formula>"CV"</formula>
    </cfRule>
    <cfRule type="cellIs" priority="29" operator="equal" dxfId="14">
      <formula>"AG"</formula>
    </cfRule>
  </conditionalFormatting>
  <conditionalFormatting sqref="B55">
    <cfRule type="cellIs" priority="30" operator="greaterThan" dxfId="15">
      <formula>160</formula>
    </cfRule>
  </conditionalFormatting>
  <conditionalFormatting sqref="C55">
    <cfRule type="cellIs" priority="31" operator="notEqual" dxfId="16">
      <formula>4</formula>
    </cfRule>
  </conditionalFormatting>
  <conditionalFormatting sqref="D55">
    <cfRule type="cellIs" priority="32" operator="notEqual" dxfId="16">
      <formula>4</formula>
    </cfRule>
  </conditionalFormatting>
  <conditionalFormatting sqref="E55">
    <cfRule type="cellIs" priority="33" operator="notEqual" dxfId="16">
      <formula>1</formula>
    </cfRule>
  </conditionalFormatting>
  <conditionalFormatting sqref="H55">
    <cfRule type="cellIs" priority="34" operator="equal" dxfId="17">
      <formula>"✓ OK"</formula>
    </cfRule>
    <cfRule type="cellIs" priority="35" operator="notEqual" dxfId="15">
      <formula>"✓ OK"</formula>
    </cfRule>
  </conditionalFormatting>
  <conditionalFormatting sqref="B56">
    <cfRule type="cellIs" priority="36" operator="greaterThan" dxfId="15">
      <formula>160</formula>
    </cfRule>
  </conditionalFormatting>
  <conditionalFormatting sqref="C56">
    <cfRule type="cellIs" priority="37" operator="notEqual" dxfId="16">
      <formula>4</formula>
    </cfRule>
  </conditionalFormatting>
  <conditionalFormatting sqref="D56">
    <cfRule type="cellIs" priority="38" operator="notEqual" dxfId="16">
      <formula>4</formula>
    </cfRule>
  </conditionalFormatting>
  <conditionalFormatting sqref="E56">
    <cfRule type="cellIs" priority="39" operator="notEqual" dxfId="16">
      <formula>1</formula>
    </cfRule>
  </conditionalFormatting>
  <conditionalFormatting sqref="H56">
    <cfRule type="cellIs" priority="40" operator="equal" dxfId="17">
      <formula>"✓ OK"</formula>
    </cfRule>
    <cfRule type="cellIs" priority="41" operator="notEqual" dxfId="15">
      <formula>"✓ OK"</formula>
    </cfRule>
  </conditionalFormatting>
  <dataValidations count="1">
    <dataValidation sqref="B6:Q6 B12:R12" showDropDown="0" showInputMessage="0" showErrorMessage="0" allowBlank="1" type="list">
      <formula1>"101,102,111,112,121,6101,6102,6111,6112,6121,7101,7102,7111,7112,7121,X_AM,X_PM,X_10,AG,CN,JC,RH,CH,RR,CV,ZM"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Q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L48:L49 A1"/>
    </sheetView>
  </sheetViews>
  <sheetFormatPr baseColWidth="8" defaultColWidth="8.6796875" defaultRowHeight="15" customHeight="0" zeroHeight="0" outlineLevelRow="0"/>
  <cols>
    <col width="45" customWidth="1" style="66" min="1" max="1"/>
    <col width="10" customWidth="1" style="66" min="2" max="17"/>
  </cols>
  <sheetData>
    <row r="1" ht="24.75" customHeight="1" s="67">
      <c r="A1" s="107" t="inlineStr">
        <is>
          <t>AVRIL 2026</t>
        </is>
      </c>
    </row>
    <row r="2" ht="15" customHeight="1" s="67">
      <c r="A2" s="69" t="n"/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</row>
    <row r="3" ht="15" customHeight="1" s="67">
      <c r="A3" s="108" t="inlineStr">
        <is>
          <t>Jours 1-15</t>
        </is>
      </c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</row>
    <row r="4" ht="18" customHeight="1" s="67">
      <c r="A4" s="76" t="inlineStr">
        <is>
          <t>Jour</t>
        </is>
      </c>
      <c r="B4" s="110" t="n">
        <v>1</v>
      </c>
      <c r="C4" s="110" t="n">
        <v>2</v>
      </c>
      <c r="D4" s="110" t="n">
        <v>3</v>
      </c>
      <c r="E4" s="111" t="n">
        <v>4</v>
      </c>
      <c r="F4" s="112" t="n">
        <v>5</v>
      </c>
      <c r="G4" s="109" t="n">
        <v>6</v>
      </c>
      <c r="H4" s="110" t="n">
        <v>7</v>
      </c>
      <c r="I4" s="110" t="n">
        <v>8</v>
      </c>
      <c r="J4" s="110" t="n">
        <v>9</v>
      </c>
      <c r="K4" s="110" t="n">
        <v>10</v>
      </c>
      <c r="L4" s="111" t="n">
        <v>11</v>
      </c>
      <c r="M4" s="111" t="n">
        <v>12</v>
      </c>
      <c r="N4" s="110" t="n">
        <v>13</v>
      </c>
      <c r="O4" s="110" t="n">
        <v>14</v>
      </c>
      <c r="P4" s="110" t="n">
        <v>15</v>
      </c>
    </row>
    <row r="5" ht="18" customHeight="1" s="67">
      <c r="A5" s="76" t="inlineStr">
        <is>
          <t>J.sem</t>
        </is>
      </c>
      <c r="B5" s="110" t="inlineStr">
        <is>
          <t>M</t>
        </is>
      </c>
      <c r="C5" s="110" t="inlineStr">
        <is>
          <t>J</t>
        </is>
      </c>
      <c r="D5" s="110" t="inlineStr">
        <is>
          <t>V</t>
        </is>
      </c>
      <c r="E5" s="111" t="inlineStr">
        <is>
          <t>S</t>
        </is>
      </c>
      <c r="F5" s="112" t="inlineStr">
        <is>
          <t>D</t>
        </is>
      </c>
      <c r="G5" s="113" t="inlineStr">
        <is>
          <t>L</t>
        </is>
      </c>
      <c r="H5" s="110" t="inlineStr">
        <is>
          <t>M</t>
        </is>
      </c>
      <c r="I5" s="110" t="inlineStr">
        <is>
          <t>M</t>
        </is>
      </c>
      <c r="J5" s="110" t="inlineStr">
        <is>
          <t>J</t>
        </is>
      </c>
      <c r="K5" s="110" t="inlineStr">
        <is>
          <t>V</t>
        </is>
      </c>
      <c r="L5" s="111" t="inlineStr">
        <is>
          <t>S</t>
        </is>
      </c>
      <c r="M5" s="111" t="inlineStr">
        <is>
          <t>D</t>
        </is>
      </c>
      <c r="N5" s="110" t="inlineStr">
        <is>
          <t>L</t>
        </is>
      </c>
      <c r="O5" s="110" t="inlineStr">
        <is>
          <t>M</t>
        </is>
      </c>
      <c r="P5" s="110" t="inlineStr">
        <is>
          <t>M</t>
        </is>
      </c>
    </row>
    <row r="6" ht="24.75" customHeight="1" s="67">
      <c r="A6" s="76" t="inlineStr">
        <is>
          <t>Code</t>
        </is>
      </c>
      <c r="B6" s="114" t="n"/>
      <c r="C6" s="114" t="n"/>
      <c r="D6" s="114" t="n"/>
      <c r="E6" s="114" t="n"/>
      <c r="F6" s="139" t="n"/>
      <c r="G6" s="115" t="n"/>
      <c r="H6" s="114" t="n"/>
      <c r="I6" s="114" t="n"/>
      <c r="J6" s="114" t="n"/>
      <c r="K6" s="114" t="n"/>
      <c r="L6" s="114" t="n"/>
      <c r="M6" s="114" t="n"/>
      <c r="N6" s="114" t="n"/>
      <c r="O6" s="114" t="n"/>
      <c r="P6" s="114" t="n"/>
    </row>
    <row r="7" ht="15" customHeight="1" s="67">
      <c r="A7" s="76" t="inlineStr">
        <is>
          <t>Période</t>
        </is>
      </c>
      <c r="B7" s="118" t="inlineStr">
        <is>
          <t>P3</t>
        </is>
      </c>
      <c r="C7" s="118" t="inlineStr">
        <is>
          <t>P3</t>
        </is>
      </c>
      <c r="D7" s="118" t="inlineStr">
        <is>
          <t>P3</t>
        </is>
      </c>
      <c r="E7" s="118" t="inlineStr">
        <is>
          <t>P3</t>
        </is>
      </c>
      <c r="F7" s="117" t="inlineStr">
        <is>
          <t>P3</t>
        </is>
      </c>
      <c r="G7" s="117" t="inlineStr">
        <is>
          <t>P4</t>
        </is>
      </c>
      <c r="H7" s="118" t="inlineStr">
        <is>
          <t>P4</t>
        </is>
      </c>
      <c r="I7" s="118" t="inlineStr">
        <is>
          <t>P4</t>
        </is>
      </c>
      <c r="J7" s="118" t="inlineStr">
        <is>
          <t>P4</t>
        </is>
      </c>
      <c r="K7" s="118" t="inlineStr">
        <is>
          <t>P4</t>
        </is>
      </c>
      <c r="L7" s="118" t="inlineStr">
        <is>
          <t>P4</t>
        </is>
      </c>
      <c r="M7" s="118" t="inlineStr">
        <is>
          <t>P4</t>
        </is>
      </c>
      <c r="N7" s="118" t="inlineStr">
        <is>
          <t>P4</t>
        </is>
      </c>
      <c r="O7" s="118" t="inlineStr">
        <is>
          <t>P4</t>
        </is>
      </c>
      <c r="P7" s="118" t="inlineStr">
        <is>
          <t>P4</t>
        </is>
      </c>
    </row>
    <row r="8" ht="15" customHeight="1" s="67">
      <c r="A8" s="69" t="n"/>
      <c r="B8" s="69" t="n"/>
      <c r="C8" s="69" t="n"/>
      <c r="D8" s="69" t="n"/>
      <c r="E8" s="69" t="n"/>
      <c r="F8" s="69" t="n"/>
      <c r="G8" s="69" t="n"/>
      <c r="H8" s="69" t="n"/>
      <c r="I8" s="69" t="n"/>
      <c r="J8" s="69" t="n"/>
      <c r="K8" s="69" t="n"/>
      <c r="L8" s="69" t="n"/>
      <c r="M8" s="69" t="n"/>
      <c r="N8" s="69" t="n"/>
      <c r="O8" s="69" t="n"/>
      <c r="P8" s="69" t="n"/>
    </row>
    <row r="9" ht="15" customHeight="1" s="67">
      <c r="A9" s="108" t="inlineStr">
        <is>
          <t>Jours 16-30</t>
        </is>
      </c>
      <c r="B9" s="69" t="n"/>
      <c r="C9" s="69" t="n"/>
      <c r="D9" s="69" t="n"/>
      <c r="E9" s="69" t="n"/>
      <c r="F9" s="69" t="n"/>
      <c r="G9" s="69" t="n"/>
      <c r="H9" s="69" t="n"/>
      <c r="I9" s="69" t="n"/>
      <c r="J9" s="69" t="n"/>
      <c r="K9" s="69" t="n"/>
      <c r="L9" s="69" t="n"/>
      <c r="M9" s="69" t="n"/>
      <c r="N9" s="69" t="n"/>
      <c r="O9" s="69" t="n"/>
      <c r="P9" s="69" t="n"/>
    </row>
    <row r="10" ht="18" customHeight="1" s="67">
      <c r="A10" s="76" t="inlineStr">
        <is>
          <t>Jour</t>
        </is>
      </c>
      <c r="B10" s="110" t="n">
        <v>16</v>
      </c>
      <c r="C10" s="110" t="n">
        <v>17</v>
      </c>
      <c r="D10" s="111" t="n">
        <v>18</v>
      </c>
      <c r="E10" s="111" t="n">
        <v>19</v>
      </c>
      <c r="F10" s="110" t="n">
        <v>20</v>
      </c>
      <c r="G10" s="110" t="n">
        <v>21</v>
      </c>
      <c r="H10" s="110" t="n">
        <v>22</v>
      </c>
      <c r="I10" s="110" t="n">
        <v>23</v>
      </c>
      <c r="J10" s="110" t="n">
        <v>24</v>
      </c>
      <c r="K10" s="111" t="n">
        <v>25</v>
      </c>
      <c r="L10" s="111" t="n">
        <v>26</v>
      </c>
      <c r="M10" s="110" t="n">
        <v>27</v>
      </c>
      <c r="N10" s="110" t="n">
        <v>28</v>
      </c>
      <c r="O10" s="119" t="n">
        <v>29</v>
      </c>
      <c r="P10" s="119" t="n">
        <v>30</v>
      </c>
      <c r="Q10" s="141" t="n"/>
    </row>
    <row r="11" ht="18" customHeight="1" s="67">
      <c r="A11" s="76" t="inlineStr">
        <is>
          <t>J.sem</t>
        </is>
      </c>
      <c r="B11" s="110" t="inlineStr">
        <is>
          <t>J</t>
        </is>
      </c>
      <c r="C11" s="110" t="inlineStr">
        <is>
          <t>V</t>
        </is>
      </c>
      <c r="D11" s="111" t="inlineStr">
        <is>
          <t>S</t>
        </is>
      </c>
      <c r="E11" s="111" t="inlineStr">
        <is>
          <t>D</t>
        </is>
      </c>
      <c r="F11" s="110" t="inlineStr">
        <is>
          <t>L</t>
        </is>
      </c>
      <c r="G11" s="110" t="inlineStr">
        <is>
          <t>M</t>
        </is>
      </c>
      <c r="H11" s="110" t="inlineStr">
        <is>
          <t>M</t>
        </is>
      </c>
      <c r="I11" s="110" t="inlineStr">
        <is>
          <t>J</t>
        </is>
      </c>
      <c r="J11" s="110" t="inlineStr">
        <is>
          <t>V</t>
        </is>
      </c>
      <c r="K11" s="111" t="inlineStr">
        <is>
          <t>S</t>
        </is>
      </c>
      <c r="L11" s="111" t="inlineStr">
        <is>
          <t>D</t>
        </is>
      </c>
      <c r="M11" s="110" t="inlineStr">
        <is>
          <t>L</t>
        </is>
      </c>
      <c r="N11" s="110" t="inlineStr">
        <is>
          <t>M</t>
        </is>
      </c>
      <c r="O11" s="119" t="inlineStr">
        <is>
          <t>M</t>
        </is>
      </c>
      <c r="P11" s="119" t="inlineStr">
        <is>
          <t>J</t>
        </is>
      </c>
      <c r="Q11" s="141" t="n"/>
    </row>
    <row r="12" ht="24.75" customHeight="1" s="67">
      <c r="A12" s="76" t="inlineStr">
        <is>
          <t>Code</t>
        </is>
      </c>
      <c r="B12" s="114" t="n"/>
      <c r="C12" s="114" t="n"/>
      <c r="D12" s="114" t="n"/>
      <c r="E12" s="114" t="n"/>
      <c r="F12" s="114" t="n"/>
      <c r="G12" s="114" t="n"/>
      <c r="H12" s="114" t="n"/>
      <c r="I12" s="114" t="n"/>
      <c r="J12" s="114" t="n"/>
      <c r="K12" s="114" t="n"/>
      <c r="L12" s="114" t="n"/>
      <c r="M12" s="114" t="n"/>
      <c r="N12" s="114" t="n"/>
      <c r="O12" s="114" t="n"/>
      <c r="P12" s="114" t="n"/>
      <c r="Q12" s="141" t="n"/>
    </row>
    <row r="13" ht="15" customHeight="1" s="67">
      <c r="A13" s="76" t="inlineStr">
        <is>
          <t>Période</t>
        </is>
      </c>
      <c r="B13" s="118" t="inlineStr">
        <is>
          <t>P4</t>
        </is>
      </c>
      <c r="C13" s="118" t="inlineStr">
        <is>
          <t>P4</t>
        </is>
      </c>
      <c r="D13" s="118" t="inlineStr">
        <is>
          <t>P4</t>
        </is>
      </c>
      <c r="E13" s="118" t="inlineStr">
        <is>
          <t>P4</t>
        </is>
      </c>
      <c r="F13" s="118" t="inlineStr">
        <is>
          <t>P4</t>
        </is>
      </c>
      <c r="G13" s="118" t="inlineStr">
        <is>
          <t>P4</t>
        </is>
      </c>
      <c r="H13" s="118" t="inlineStr">
        <is>
          <t>P4</t>
        </is>
      </c>
      <c r="I13" s="118" t="inlineStr">
        <is>
          <t>P4</t>
        </is>
      </c>
      <c r="J13" s="118" t="inlineStr">
        <is>
          <t>P4</t>
        </is>
      </c>
      <c r="K13" s="118" t="inlineStr">
        <is>
          <t>P4</t>
        </is>
      </c>
      <c r="L13" s="118" t="inlineStr">
        <is>
          <t>P4</t>
        </is>
      </c>
      <c r="M13" s="118" t="inlineStr">
        <is>
          <t>P4</t>
        </is>
      </c>
      <c r="N13" s="118" t="inlineStr">
        <is>
          <t>P4</t>
        </is>
      </c>
      <c r="O13" s="118" t="inlineStr">
        <is>
          <t>P4</t>
        </is>
      </c>
      <c r="P13" s="118" t="inlineStr">
        <is>
          <t>P4</t>
        </is>
      </c>
      <c r="Q13" s="141" t="n"/>
    </row>
    <row r="16" ht="15" customHeight="1" s="67">
      <c r="A16" s="104" t="inlineStr">
        <is>
          <t>Prestations</t>
        </is>
      </c>
      <c r="B16" s="104" t="inlineStr">
        <is>
          <t>Jours</t>
        </is>
      </c>
      <c r="C16" s="104" t="inlineStr">
        <is>
          <t>H. Totales</t>
        </is>
      </c>
      <c r="D16" s="104" t="inlineStr">
        <is>
          <t>H. Nuit</t>
        </is>
      </c>
      <c r="E16" s="104" t="inlineStr">
        <is>
          <t>Couleur</t>
        </is>
      </c>
      <c r="F16" s="106" t="n"/>
      <c r="G16" s="106" t="n"/>
      <c r="H16" s="106" t="n"/>
      <c r="I16" s="106" t="n"/>
      <c r="J16" s="106" t="n"/>
    </row>
    <row r="17">
      <c r="A17" s="105" t="inlineStr">
        <is>
          <t>101</t>
        </is>
      </c>
      <c r="B17" s="105">
        <f>COUNTIF(B6:P6,"101")+COUNTIF(B12:R12,"101")</f>
        <v/>
      </c>
      <c r="C17" s="105">
        <f>B17*8</f>
        <v/>
      </c>
      <c r="D17" s="105">
        <f>B17*2</f>
        <v/>
      </c>
      <c r="E17" s="121" t="n"/>
      <c r="F17" s="106" t="n"/>
      <c r="G17" s="106" t="n"/>
      <c r="H17" s="106" t="n"/>
      <c r="I17" s="106" t="n"/>
      <c r="J17" s="106" t="n"/>
    </row>
    <row r="18" ht="15" customHeight="1" s="67">
      <c r="A18" s="105" t="inlineStr">
        <is>
          <t>102</t>
        </is>
      </c>
      <c r="B18" s="105">
        <f>COUNTIF(B6:P6,"102")+COUNTIF(B12:R12,"102")</f>
        <v/>
      </c>
      <c r="C18" s="105">
        <f>B18*8</f>
        <v/>
      </c>
      <c r="D18" s="105">
        <f>B18*2</f>
        <v/>
      </c>
      <c r="E18" s="122" t="n"/>
      <c r="F18" s="106" t="n"/>
      <c r="G18" s="106" t="n"/>
      <c r="H18" s="106" t="n"/>
      <c r="I18" s="106" t="n"/>
      <c r="J18" s="106" t="n"/>
    </row>
    <row r="19" ht="15" customHeight="1" s="67">
      <c r="A19" s="105" t="inlineStr">
        <is>
          <t>111</t>
        </is>
      </c>
      <c r="B19" s="105">
        <f>COUNTIF(B6:P6,"111")+COUNTIF(B12:R12,"111")</f>
        <v/>
      </c>
      <c r="C19" s="105">
        <f>B19*8</f>
        <v/>
      </c>
      <c r="D19" s="105">
        <f>B19*2</f>
        <v/>
      </c>
      <c r="E19" s="123" t="n"/>
      <c r="F19" s="106" t="n"/>
      <c r="G19" s="106" t="n"/>
      <c r="H19" s="106" t="n"/>
      <c r="I19" s="106" t="n"/>
      <c r="J19" s="106" t="n"/>
    </row>
    <row r="20" ht="15" customHeight="1" s="67">
      <c r="A20" s="105" t="inlineStr">
        <is>
          <t>112</t>
        </is>
      </c>
      <c r="B20" s="105">
        <f>COUNTIF(B6:P6,"112")+COUNTIF(B12:R12,"112")</f>
        <v/>
      </c>
      <c r="C20" s="105">
        <f>B20*8</f>
        <v/>
      </c>
      <c r="D20" s="105">
        <f>B20*2</f>
        <v/>
      </c>
      <c r="E20" s="124" t="n"/>
      <c r="F20" s="106" t="n"/>
      <c r="G20" s="106" t="n"/>
      <c r="H20" s="106" t="n"/>
      <c r="I20" s="106" t="n"/>
      <c r="J20" s="106" t="n"/>
    </row>
    <row r="21" ht="15" customHeight="1" s="67">
      <c r="A21" s="105" t="inlineStr">
        <is>
          <t>121</t>
        </is>
      </c>
      <c r="B21" s="105">
        <f>COUNTIF(B6:P6,"121")+COUNTIF(B12:R12,"121")</f>
        <v/>
      </c>
      <c r="C21" s="105">
        <f>B21*8</f>
        <v/>
      </c>
      <c r="D21" s="105">
        <f>B21*8</f>
        <v/>
      </c>
      <c r="E21" s="125" t="n"/>
      <c r="F21" s="106" t="n"/>
      <c r="G21" s="106" t="n"/>
      <c r="H21" s="106" t="n"/>
      <c r="I21" s="106" t="n"/>
      <c r="J21" s="106" t="n"/>
    </row>
    <row r="22" ht="15" customHeight="1" s="67">
      <c r="A22" s="105" t="inlineStr">
        <is>
          <t>6101</t>
        </is>
      </c>
      <c r="B22" s="105">
        <f>COUNTIF(B6:P6,"6101")+COUNTIF(B12:R12,"6101")</f>
        <v/>
      </c>
      <c r="C22" s="105">
        <f>B22*8</f>
        <v/>
      </c>
      <c r="D22" s="105">
        <f>B22*2</f>
        <v/>
      </c>
      <c r="E22" s="121" t="n"/>
      <c r="F22" s="106" t="n"/>
      <c r="G22" s="106" t="n"/>
      <c r="H22" s="106" t="n"/>
      <c r="I22" s="106" t="n"/>
      <c r="J22" s="106" t="n"/>
    </row>
    <row r="23" ht="15" customHeight="1" s="67">
      <c r="A23" s="105" t="inlineStr">
        <is>
          <t>6102</t>
        </is>
      </c>
      <c r="B23" s="105">
        <f>COUNTIF(B6:P6,"6102")+COUNTIF(B12:R12,"6102")</f>
        <v/>
      </c>
      <c r="C23" s="105">
        <f>B23*8</f>
        <v/>
      </c>
      <c r="D23" s="105">
        <f>B23*2</f>
        <v/>
      </c>
      <c r="E23" s="122" t="n"/>
      <c r="F23" s="106" t="n"/>
      <c r="G23" s="106" t="n"/>
      <c r="H23" s="106" t="n"/>
      <c r="I23" s="106" t="n"/>
      <c r="J23" s="106" t="n"/>
    </row>
    <row r="24" ht="15" customHeight="1" s="67">
      <c r="A24" s="105" t="inlineStr">
        <is>
          <t>6111</t>
        </is>
      </c>
      <c r="B24" s="105">
        <f>COUNTIF(B6:P6,"6111")+COUNTIF(B12:R12,"6111")</f>
        <v/>
      </c>
      <c r="C24" s="105">
        <f>B24*8</f>
        <v/>
      </c>
      <c r="D24" s="105">
        <f>B24*2</f>
        <v/>
      </c>
      <c r="E24" s="123" t="n"/>
      <c r="F24" s="106" t="n"/>
      <c r="G24" s="106" t="n"/>
      <c r="H24" s="106" t="n"/>
      <c r="I24" s="106" t="n"/>
      <c r="J24" s="106" t="n"/>
    </row>
    <row r="25" ht="15" customHeight="1" s="67">
      <c r="A25" s="105" t="inlineStr">
        <is>
          <t>6112</t>
        </is>
      </c>
      <c r="B25" s="105">
        <f>COUNTIF(B6:P6,"6112")+COUNTIF(B12:R12,"6112")</f>
        <v/>
      </c>
      <c r="C25" s="105">
        <f>B25*8</f>
        <v/>
      </c>
      <c r="D25" s="105">
        <f>B25*2</f>
        <v/>
      </c>
      <c r="E25" s="124" t="n"/>
      <c r="F25" s="106" t="n"/>
      <c r="G25" s="106" t="n"/>
      <c r="H25" s="106" t="n"/>
      <c r="I25" s="106" t="n"/>
      <c r="J25" s="106" t="n"/>
    </row>
    <row r="26" ht="15" customHeight="1" s="67">
      <c r="A26" s="105" t="inlineStr">
        <is>
          <t>6121</t>
        </is>
      </c>
      <c r="B26" s="105">
        <f>COUNTIF(B6:P6,"6121")+COUNTIF(B12:R12,"6121")</f>
        <v/>
      </c>
      <c r="C26" s="105">
        <f>B26*8</f>
        <v/>
      </c>
      <c r="D26" s="105">
        <f>B26*8</f>
        <v/>
      </c>
      <c r="E26" s="125" t="n"/>
      <c r="F26" s="106" t="n"/>
      <c r="G26" s="106" t="n"/>
      <c r="H26" s="106" t="n"/>
      <c r="I26" s="106" t="n"/>
      <c r="J26" s="106" t="n"/>
    </row>
    <row r="27" ht="15" customHeight="1" s="67">
      <c r="A27" s="105" t="inlineStr">
        <is>
          <t>7101</t>
        </is>
      </c>
      <c r="B27" s="105">
        <f>COUNTIF(B6:P6,"7101")+COUNTIF(B12:R12,"7101")</f>
        <v/>
      </c>
      <c r="C27" s="105">
        <f>B27*8</f>
        <v/>
      </c>
      <c r="D27" s="105">
        <f>B27*2</f>
        <v/>
      </c>
      <c r="E27" s="121" t="n"/>
      <c r="F27" s="106" t="n"/>
      <c r="G27" s="106" t="n"/>
      <c r="H27" s="106" t="n"/>
      <c r="I27" s="106" t="n"/>
      <c r="J27" s="106" t="n"/>
    </row>
    <row r="28" ht="15" customHeight="1" s="67">
      <c r="A28" s="105" t="inlineStr">
        <is>
          <t>7102</t>
        </is>
      </c>
      <c r="B28" s="105">
        <f>COUNTIF(B6:P6,"7102")+COUNTIF(B12:R12,"7102")</f>
        <v/>
      </c>
      <c r="C28" s="105">
        <f>B28*8</f>
        <v/>
      </c>
      <c r="D28" s="105">
        <f>B28*2</f>
        <v/>
      </c>
      <c r="E28" s="122" t="n"/>
      <c r="F28" s="106" t="n"/>
      <c r="G28" s="106" t="n"/>
      <c r="H28" s="106" t="n"/>
      <c r="I28" s="106" t="n"/>
      <c r="J28" s="106" t="n"/>
    </row>
    <row r="29" ht="15" customHeight="1" s="67">
      <c r="A29" s="105" t="inlineStr">
        <is>
          <t>7111</t>
        </is>
      </c>
      <c r="B29" s="105">
        <f>COUNTIF(B6:P6,"7111")+COUNTIF(B12:R12,"7111")</f>
        <v/>
      </c>
      <c r="C29" s="105">
        <f>B29*8</f>
        <v/>
      </c>
      <c r="D29" s="105">
        <f>B29*2</f>
        <v/>
      </c>
      <c r="E29" s="123" t="n"/>
      <c r="F29" s="106" t="n"/>
      <c r="G29" s="106" t="n"/>
      <c r="H29" s="106" t="n"/>
      <c r="I29" s="106" t="n"/>
      <c r="J29" s="106" t="n"/>
    </row>
    <row r="30" ht="15" customHeight="1" s="67">
      <c r="A30" s="105" t="inlineStr">
        <is>
          <t>7112</t>
        </is>
      </c>
      <c r="B30" s="105">
        <f>COUNTIF(B6:P6,"7112")+COUNTIF(B12:R12,"7112")</f>
        <v/>
      </c>
      <c r="C30" s="105">
        <f>B30*8</f>
        <v/>
      </c>
      <c r="D30" s="105">
        <f>B30*2</f>
        <v/>
      </c>
      <c r="E30" s="124" t="n"/>
      <c r="F30" s="106" t="n"/>
      <c r="G30" s="106" t="n"/>
      <c r="H30" s="106" t="n"/>
      <c r="I30" s="106" t="n"/>
      <c r="J30" s="106" t="n"/>
    </row>
    <row r="31" ht="15" customHeight="1" s="67">
      <c r="A31" s="105" t="inlineStr">
        <is>
          <t>7121</t>
        </is>
      </c>
      <c r="B31" s="105">
        <f>COUNTIF(B6:P6,"7121")+COUNTIF(B12:R12,"7121")</f>
        <v/>
      </c>
      <c r="C31" s="105">
        <f>B31*8</f>
        <v/>
      </c>
      <c r="D31" s="105">
        <f>B31*8</f>
        <v/>
      </c>
      <c r="E31" s="125" t="n"/>
      <c r="F31" s="106" t="n"/>
      <c r="G31" s="106" t="n"/>
      <c r="H31" s="106" t="n"/>
      <c r="I31" s="106" t="n"/>
      <c r="J31" s="106" t="n"/>
    </row>
    <row r="32" ht="15" customHeight="1" s="67">
      <c r="A32" s="105" t="inlineStr">
        <is>
          <t>X_AM</t>
        </is>
      </c>
      <c r="B32" s="105">
        <f>COUNTIF(B6:P6,"X_AM")+COUNTIF(B12:R12,"X_AM")</f>
        <v/>
      </c>
      <c r="C32" s="105">
        <f>B32*8</f>
        <v/>
      </c>
      <c r="D32" s="105">
        <f>B32*2</f>
        <v/>
      </c>
      <c r="E32" s="126" t="n"/>
      <c r="F32" s="106" t="n"/>
      <c r="G32" s="106" t="n"/>
      <c r="H32" s="106" t="n"/>
      <c r="I32" s="106" t="n"/>
      <c r="J32" s="106" t="n"/>
    </row>
    <row r="33" ht="15" customHeight="1" s="67">
      <c r="A33" s="105" t="inlineStr">
        <is>
          <t>X_PM</t>
        </is>
      </c>
      <c r="B33" s="105">
        <f>COUNTIF(B6:P6,"X_PM")+COUNTIF(B12:R12,"X_PM")</f>
        <v/>
      </c>
      <c r="C33" s="105">
        <f>B33*8</f>
        <v/>
      </c>
      <c r="D33" s="105">
        <f>B33*2</f>
        <v/>
      </c>
      <c r="E33" s="126" t="n"/>
      <c r="F33" s="106" t="n"/>
      <c r="G33" s="106" t="n"/>
      <c r="H33" s="106" t="n"/>
      <c r="I33" s="106" t="n"/>
      <c r="J33" s="106" t="n"/>
    </row>
    <row r="34" ht="15" customHeight="1" s="67">
      <c r="A34" s="105" t="inlineStr">
        <is>
          <t>X_10</t>
        </is>
      </c>
      <c r="B34" s="105">
        <f>COUNTIF(B6:P6,"X_10")+COUNTIF(B12:R12,"X_10")</f>
        <v/>
      </c>
      <c r="C34" s="105">
        <f>B34*8</f>
        <v/>
      </c>
      <c r="D34" s="105" t="n">
        <v>0</v>
      </c>
      <c r="E34" s="127" t="n"/>
      <c r="F34" s="106" t="n"/>
      <c r="G34" s="106" t="n"/>
      <c r="H34" s="106" t="n"/>
      <c r="I34" s="106" t="n"/>
      <c r="J34" s="106" t="n"/>
    </row>
    <row r="35" ht="15" customHeight="1" s="67">
      <c r="A35" s="105" t="inlineStr">
        <is>
          <t>AG</t>
        </is>
      </c>
      <c r="B35" s="105">
        <f>COUNTIF(B6:P6,"AG")+COUNTIF(B12:R12,"AG")</f>
        <v/>
      </c>
      <c r="C35" s="105">
        <f>B35*8</f>
        <v/>
      </c>
      <c r="D35" s="105" t="n">
        <v>0</v>
      </c>
      <c r="E35" s="128" t="n"/>
      <c r="F35" s="106" t="n"/>
      <c r="G35" s="106" t="n"/>
      <c r="H35" s="106" t="n"/>
      <c r="I35" s="106" t="n"/>
      <c r="J35" s="106" t="n"/>
    </row>
    <row r="36" ht="15" customHeight="1" s="67">
      <c r="A36" s="129" t="inlineStr">
        <is>
          <t>TOTAL</t>
        </is>
      </c>
      <c r="B36" s="129">
        <f>SUM(B17:B35)</f>
        <v/>
      </c>
      <c r="C36" s="129">
        <f>SUM(C17:C35)</f>
        <v/>
      </c>
      <c r="D36" s="129">
        <f>SUM(D17:D35)</f>
        <v/>
      </c>
      <c r="E36" s="129" t="n"/>
      <c r="F36" s="106" t="n"/>
      <c r="G36" s="106" t="n"/>
      <c r="H36" s="106" t="n"/>
      <c r="I36" s="106" t="n"/>
      <c r="J36" s="106" t="n"/>
    </row>
    <row r="37" ht="15" customHeight="1" s="67">
      <c r="A37" s="130" t="n"/>
      <c r="B37" s="130" t="n"/>
      <c r="C37" s="130" t="n"/>
      <c r="D37" s="130" t="n"/>
      <c r="E37" s="130" t="n"/>
      <c r="F37" s="106" t="n"/>
      <c r="G37" s="106" t="n"/>
      <c r="H37" s="106" t="n"/>
      <c r="I37" s="106" t="n"/>
      <c r="J37" s="106" t="n"/>
    </row>
    <row r="38" ht="15" customHeight="1" s="67">
      <c r="A38" s="104" t="inlineStr">
        <is>
          <t>REPOS</t>
        </is>
      </c>
      <c r="B38" s="104" t="inlineStr">
        <is>
          <t>Jours</t>
        </is>
      </c>
      <c r="C38" s="104" t="inlineStr">
        <is>
          <t>H. Totales</t>
        </is>
      </c>
      <c r="D38" s="104" t="inlineStr">
        <is>
          <t>H. Nuit</t>
        </is>
      </c>
      <c r="E38" s="104" t="inlineStr">
        <is>
          <t>Couleur</t>
        </is>
      </c>
      <c r="F38" s="106" t="n"/>
      <c r="G38" s="106" t="n"/>
      <c r="H38" s="106" t="n"/>
      <c r="I38" s="106" t="n"/>
      <c r="J38" s="106" t="n"/>
    </row>
    <row r="39" ht="15" customHeight="1" s="67">
      <c r="A39" s="105" t="inlineStr">
        <is>
          <t>CN</t>
        </is>
      </c>
      <c r="B39" s="105">
        <f>COUNTIF(B6:P6,"CN")+COUNTIF(B12:R12,"CN")</f>
        <v/>
      </c>
      <c r="C39" s="105">
        <f>B39*8</f>
        <v/>
      </c>
      <c r="D39" s="105" t="n">
        <v>0</v>
      </c>
      <c r="E39" s="131" t="n"/>
      <c r="F39" s="106" t="n"/>
      <c r="G39" s="106" t="n"/>
      <c r="H39" s="106" t="n"/>
      <c r="I39" s="106" t="n"/>
      <c r="J39" s="106" t="n"/>
    </row>
    <row r="40" ht="15" customHeight="1" s="67">
      <c r="A40" s="105" t="inlineStr">
        <is>
          <t>JC</t>
        </is>
      </c>
      <c r="B40" s="105">
        <f>COUNTIF(B6:P6,"JC")+COUNTIF(B12:R12,"JC")</f>
        <v/>
      </c>
      <c r="C40" s="105">
        <f>B40*8</f>
        <v/>
      </c>
      <c r="D40" s="105" t="n">
        <v>0</v>
      </c>
      <c r="E40" s="131" t="n"/>
      <c r="F40" s="106" t="n"/>
      <c r="G40" s="106" t="n"/>
      <c r="H40" s="106" t="n"/>
      <c r="I40" s="106" t="n"/>
      <c r="J40" s="106" t="n"/>
    </row>
    <row r="41" ht="15" customHeight="1" s="67">
      <c r="A41" s="105" t="inlineStr">
        <is>
          <t>RH</t>
        </is>
      </c>
      <c r="B41" s="105">
        <f>COUNTIF(B6:P6,"RH")+COUNTIF(B12:R12,"RH")</f>
        <v/>
      </c>
      <c r="C41" s="105" t="n">
        <v>0</v>
      </c>
      <c r="D41" s="105" t="n">
        <v>0</v>
      </c>
      <c r="E41" s="132" t="n"/>
      <c r="F41" s="106" t="n"/>
      <c r="G41" s="106" t="n"/>
      <c r="H41" s="106" t="n"/>
      <c r="I41" s="106" t="n"/>
      <c r="J41" s="106" t="n"/>
    </row>
    <row r="42" ht="15" customHeight="1" s="67">
      <c r="A42" s="105" t="inlineStr">
        <is>
          <t>CH</t>
        </is>
      </c>
      <c r="B42" s="105">
        <f>COUNTIF(B6:P6,"CH")+COUNTIF(B12:R12,"CH")</f>
        <v/>
      </c>
      <c r="C42" s="105" t="n">
        <v>0</v>
      </c>
      <c r="D42" s="105" t="n">
        <v>0</v>
      </c>
      <c r="E42" s="133" t="n"/>
      <c r="F42" s="106" t="n"/>
      <c r="G42" s="106" t="n"/>
      <c r="H42" s="106" t="n"/>
      <c r="I42" s="106" t="n"/>
      <c r="J42" s="106" t="n"/>
    </row>
    <row r="43" ht="15" customHeight="1" s="67">
      <c r="A43" s="105" t="inlineStr">
        <is>
          <t>RR</t>
        </is>
      </c>
      <c r="B43" s="105">
        <f>COUNTIF(B6:P6,"RR")+COUNTIF(B12:R12,"RR")</f>
        <v/>
      </c>
      <c r="C43" s="105">
        <f>B43*8</f>
        <v/>
      </c>
      <c r="D43" s="105" t="n">
        <v>0</v>
      </c>
      <c r="E43" s="134" t="n"/>
      <c r="F43" s="106" t="n"/>
      <c r="G43" s="106" t="n"/>
      <c r="H43" s="106" t="n"/>
      <c r="I43" s="106" t="n"/>
      <c r="J43" s="106" t="n"/>
    </row>
    <row r="44">
      <c r="A44" s="105" t="inlineStr">
        <is>
          <t>CV</t>
        </is>
      </c>
      <c r="B44" s="105">
        <f>COUNTIF(B6:P6,"CV")+COUNTIF(B12:R12,"CV")</f>
        <v/>
      </c>
      <c r="C44" s="105">
        <f>B44*8</f>
        <v/>
      </c>
      <c r="D44" s="105" t="n">
        <v>0</v>
      </c>
      <c r="E44" s="135" t="n"/>
      <c r="F44" s="106" t="n"/>
      <c r="G44" s="106" t="n"/>
      <c r="H44" s="106" t="n"/>
      <c r="I44" s="106" t="n"/>
      <c r="J44" s="106" t="n"/>
    </row>
    <row r="45" ht="15" customHeight="1" s="67">
      <c r="A45" s="105" t="inlineStr">
        <is>
          <t>ZM</t>
        </is>
      </c>
      <c r="B45" s="105">
        <f>COUNTIF(B6:P6,"ZM")+COUNTIF(B12:R12,"ZM")</f>
        <v/>
      </c>
      <c r="C45" s="105">
        <f>B45*8</f>
        <v/>
      </c>
      <c r="D45" s="105" t="n">
        <v>0</v>
      </c>
      <c r="E45" s="136" t="n"/>
      <c r="F45" s="106" t="n"/>
      <c r="G45" s="106" t="n"/>
      <c r="H45" s="106" t="n"/>
      <c r="I45" s="106" t="n"/>
      <c r="J45" s="106" t="n"/>
    </row>
    <row r="46">
      <c r="A46" s="129" t="inlineStr">
        <is>
          <t>TOTAL</t>
        </is>
      </c>
      <c r="B46" s="129">
        <f>SUM(B39:B45)</f>
        <v/>
      </c>
      <c r="C46" s="129">
        <f>SUM(C39:C45)</f>
        <v/>
      </c>
      <c r="D46" s="129">
        <f>SUM(D39:D45)</f>
        <v/>
      </c>
      <c r="E46" s="129" t="n"/>
      <c r="F46" s="106" t="n"/>
      <c r="G46" s="106" t="n"/>
      <c r="H46" s="106" t="n"/>
      <c r="I46" s="106" t="n"/>
      <c r="J46" s="106" t="n"/>
    </row>
    <row r="47" ht="15" customHeight="1" s="67">
      <c r="A47" s="130" t="n"/>
      <c r="B47" s="130" t="n"/>
      <c r="C47" s="130" t="n"/>
      <c r="D47" s="130" t="n"/>
      <c r="E47" s="106" t="n"/>
      <c r="F47" s="106" t="n"/>
      <c r="G47" s="106" t="n"/>
      <c r="H47" s="106" t="n"/>
      <c r="I47" s="106" t="n"/>
      <c r="J47" s="106" t="n"/>
    </row>
    <row r="48" ht="15" customHeight="1" s="67">
      <c r="A48" s="137" t="inlineStr">
        <is>
          <t>Total Heures</t>
        </is>
      </c>
      <c r="B48" s="130" t="n"/>
      <c r="C48" s="137">
        <f>C36+C46</f>
        <v/>
      </c>
      <c r="D48" s="130" t="n"/>
      <c r="E48" s="106" t="n"/>
      <c r="F48" s="106" t="n"/>
      <c r="G48" s="106" t="n"/>
      <c r="H48" s="106" t="n"/>
      <c r="I48" s="106" t="n"/>
      <c r="J48" s="106" t="n"/>
    </row>
    <row r="49" ht="15" customHeight="1" s="67">
      <c r="A49" s="130" t="n"/>
      <c r="B49" s="130" t="n"/>
      <c r="C49" s="130" t="n"/>
      <c r="D49" s="130" t="n"/>
      <c r="E49" s="106" t="n"/>
      <c r="F49" s="106" t="n"/>
      <c r="G49" s="106" t="n"/>
      <c r="H49" s="106" t="n"/>
      <c r="I49" s="106" t="n"/>
      <c r="J49" s="106" t="n"/>
    </row>
    <row r="50" ht="15" customHeight="1" s="67">
      <c r="A50" s="130" t="n"/>
      <c r="B50" s="130" t="n"/>
      <c r="C50" s="130" t="n"/>
      <c r="D50" s="130" t="n"/>
      <c r="E50" s="106" t="n"/>
      <c r="F50" s="106" t="n"/>
      <c r="G50" s="106" t="n"/>
      <c r="H50" s="106" t="n"/>
      <c r="I50" s="106" t="n"/>
      <c r="J50" s="106" t="n"/>
    </row>
    <row r="51" ht="15" customHeight="1" s="67">
      <c r="A51" s="130" t="n"/>
      <c r="B51" s="130" t="n"/>
      <c r="C51" s="130" t="n"/>
      <c r="D51" s="130" t="n"/>
      <c r="E51" s="106" t="n"/>
      <c r="F51" s="106" t="n"/>
      <c r="G51" s="106" t="n"/>
      <c r="H51" s="106" t="n"/>
      <c r="I51" s="106" t="n"/>
      <c r="J51" s="106" t="n"/>
    </row>
    <row r="52">
      <c r="A52" s="138" t="inlineStr">
        <is>
          <t>CONTRÔLES PAR PÉRIODE - AVRIL</t>
        </is>
      </c>
      <c r="B52" s="106" t="n"/>
      <c r="C52" s="106" t="n"/>
      <c r="D52" s="106" t="n"/>
      <c r="E52" s="106" t="n"/>
      <c r="F52" s="106" t="n"/>
      <c r="G52" s="106" t="n"/>
      <c r="H52" s="106" t="n"/>
      <c r="I52" s="106" t="n"/>
      <c r="J52" s="106" t="n"/>
    </row>
    <row r="53" ht="15" customHeight="1" s="67">
      <c r="A53" s="130" t="n"/>
      <c r="B53" s="106" t="n"/>
      <c r="C53" s="106" t="n"/>
      <c r="D53" s="106" t="n"/>
      <c r="E53" s="106" t="n"/>
      <c r="F53" s="106" t="n"/>
      <c r="G53" s="106" t="n"/>
      <c r="H53" s="106" t="n"/>
      <c r="I53" s="106" t="n"/>
      <c r="J53" s="106" t="n"/>
    </row>
    <row r="54">
      <c r="A54" s="104" t="inlineStr">
        <is>
          <t>Période</t>
        </is>
      </c>
      <c r="B54" s="104" t="inlineStr">
        <is>
          <t>Heures</t>
        </is>
      </c>
      <c r="C54" s="104" t="inlineStr">
        <is>
          <t>CH</t>
        </is>
      </c>
      <c r="D54" s="104" t="inlineStr">
        <is>
          <t>RH</t>
        </is>
      </c>
      <c r="E54" s="104" t="inlineStr">
        <is>
          <t>CV</t>
        </is>
      </c>
      <c r="F54" s="104" t="inlineStr">
        <is>
          <t>RR</t>
        </is>
      </c>
      <c r="G54" s="104" t="inlineStr">
        <is>
          <t>Férié Trav.</t>
        </is>
      </c>
      <c r="H54" s="104" t="inlineStr">
        <is>
          <t>Statut</t>
        </is>
      </c>
      <c r="I54" s="106" t="n"/>
      <c r="J54" s="106" t="n"/>
    </row>
    <row r="55" ht="15" customHeight="1" s="67">
      <c r="A55" s="105" t="inlineStr">
        <is>
          <t>P3</t>
        </is>
      </c>
      <c r="B55" s="105">
        <f>(COUNTIF('Mars'!J6:P6,"101") + COUNTIF('Mars'!B12:Q12,"101") + COUNTIF('Avril'!B6:F6,"101") + COUNTIF('Mars'!J6:P6,"102") + COUNTIF('Mars'!B12:Q12,"102") + COUNTIF('Avril'!B6:F6,"102") + COUNTIF('Mars'!J6:P6,"111") + COUNTIF('Mars'!B12:Q12,"111") + COUNTIF('Avril'!B6:F6,"111") + COUNTIF('Mars'!J6:P6,"112") + COUNTIF('Mars'!B12:Q12,"112") + COUNTIF('Avril'!B6:F6,"112") + COUNTIF('Mars'!J6:P6,"121") + COUNTIF('Mars'!B12:Q12,"121") + COUNTIF('Avril'!B6:F6,"121") + COUNTIF('Mars'!J6:P6,"6101") + COUNTIF('Mars'!B12:Q12,"6101") + COUNTIF('Avril'!B6:F6,"6101") + COUNTIF('Mars'!J6:P6,"6102") + COUNTIF('Mars'!B12:Q12,"6102") + COUNTIF('Avril'!B6:F6,"6102") + COUNTIF('Mars'!J6:P6,"6111") + COUNTIF('Mars'!B12:Q12,"6111") + COUNTIF('Avril'!B6:F6,"6111") + COUNTIF('Mars'!J6:P6,"6112") + COUNTIF('Mars'!B12:Q12,"6112") + COUNTIF('Avril'!B6:F6,"6112") + COUNTIF('Mars'!J6:P6,"6121") + COUNTIF('Mars'!B12:Q12,"6121") + COUNTIF('Avril'!B6:F6,"6121") + COUNTIF('Mars'!J6:P6,"7101") + COUNTIF('Mars'!B12:Q12,"7101") + COUNTIF('Avril'!B6:F6,"7101") + COUNTIF('Mars'!J6:P6,"7102") + COUNTIF('Mars'!B12:Q12,"7102") + COUNTIF('Avril'!B6:F6,"7102") + COUNTIF('Mars'!J6:P6,"7111") + COUNTIF('Mars'!B12:Q12,"7111") + COUNTIF('Avril'!B6:F6,"7111") + COUNTIF('Mars'!J6:P6,"7112") + COUNTIF('Mars'!B12:Q12,"7112") + COUNTIF('Avril'!B6:F6,"7112") + COUNTIF('Mars'!J6:P6,"7121") + COUNTIF('Mars'!B12:Q12,"7121") + COUNTIF('Avril'!B6:F6,"7121") + COUNTIF('Mars'!J6:P6,"X_AM") + COUNTIF('Mars'!B12:Q12,"X_AM") + COUNTIF('Avril'!B6:F6,"X_AM") + COUNTIF('Mars'!J6:P6,"X_PM") + COUNTIF('Mars'!B12:Q12,"X_PM") + COUNTIF('Avril'!B6:F6,"X_PM") + COUNTIF('Mars'!J6:P6,"X_10") + COUNTIF('Mars'!B12:Q12,"X_10") + COUNTIF('Avril'!B6:F6,"X_10") + COUNTIF('Mars'!J6:P6,"AG") + COUNTIF('Mars'!B12:Q12,"AG") + COUNTIF('Avril'!B6:F6,"AG") + COUNTIF('Mars'!J6:P6,"CN") + COUNTIF('Mars'!B12:Q12,"CN") + COUNTIF('Avril'!B6:F6,"CN") + COUNTIF('Mars'!J6:P6,"JC") + COUNTIF('Mars'!B12:Q12,"JC") + COUNTIF('Avril'!B6:F6,"JC") + COUNTIF('Mars'!J6:P6,"RR") + COUNTIF('Mars'!B12:Q12,"RR") + COUNTIF('Avril'!B6:F6,"RR") + COUNTIF('Mars'!J6:P6,"ZM") + COUNTIF('Mars'!B12:Q12,"ZM") + COUNTIF('Avril'!B6:F6,"ZM") + COUNTIF('Mars'!J6:P6,"CV") + COUNTIF('Mars'!B12:Q12,"CV") + COUNTIF('Avril'!B6:F6,"CV"))*8</f>
        <v/>
      </c>
      <c r="C55" s="105">
        <f>COUNTIF('Mars'!J6:P6,"CH")+COUNTIF('Mars'!B12:Q12,"CH")+COUNTIF('Avril'!B6:F6,"CH")</f>
        <v/>
      </c>
      <c r="D55" s="105">
        <f>COUNTIF('Mars'!J6:P6,"RH")+COUNTIF('Mars'!B12:Q12,"RH")+COUNTIF('Avril'!B6:F6,"RH")</f>
        <v/>
      </c>
      <c r="E55" s="105">
        <f>COUNTIF('Mars'!J6:P6,"CV")+COUNTIF('Mars'!B12:Q12,"CV")+COUNTIF('Avril'!B6:F6,"CV")</f>
        <v/>
      </c>
      <c r="F55" s="105">
        <f>COUNTIF('Mars'!J6:P6,"RR")+COUNTIF('Mars'!B12:Q12,"RR")+COUNTIF('Avril'!B6:F6,"RR")</f>
        <v/>
      </c>
      <c r="G55" s="105" t="n">
        <v>0</v>
      </c>
      <c r="H55" s="105">
        <f>IF(B55&gt;160,"⚠ &gt;160h",IF(C55&lt;&gt;4,"⚠ CH≠4",IF(D55&lt;&gt;4,"⚠ RH≠4",IF(E55&lt;&gt;1,"⚠ CV≠1",IF(AND(G55&gt;0,F55=0),"⚠ RR manquant","✓ OK")))))</f>
        <v/>
      </c>
      <c r="I55" s="106" t="n"/>
      <c r="J55" s="106" t="n"/>
    </row>
    <row r="56" ht="15" customHeight="1" s="67">
      <c r="A56" s="105" t="inlineStr">
        <is>
          <t>P4</t>
        </is>
      </c>
      <c r="B56" s="105">
        <f>(COUNTIF('Avril'!G6:P6,"101") + COUNTIF('Avril'!B12:P12,"101") + COUNTIF('Mai'!B6:D6,"101") + COUNTIF('Avril'!G6:P6,"102") + COUNTIF('Avril'!B12:P12,"102") + COUNTIF('Mai'!B6:D6,"102") + COUNTIF('Avril'!G6:P6,"111") + COUNTIF('Avril'!B12:P12,"111") + COUNTIF('Mai'!B6:D6,"111") + COUNTIF('Avril'!G6:P6,"112") + COUNTIF('Avril'!B12:P12,"112") + COUNTIF('Mai'!B6:D6,"112") + COUNTIF('Avril'!G6:P6,"121") + COUNTIF('Avril'!B12:P12,"121") + COUNTIF('Mai'!B6:D6,"121") + COUNTIF('Avril'!G6:P6,"6101") + COUNTIF('Avril'!B12:P12,"6101") + COUNTIF('Mai'!B6:D6,"6101") + COUNTIF('Avril'!G6:P6,"6102") + COUNTIF('Avril'!B12:P12,"6102") + COUNTIF('Mai'!B6:D6,"6102") + COUNTIF('Avril'!G6:P6,"6111") + COUNTIF('Avril'!B12:P12,"6111") + COUNTIF('Mai'!B6:D6,"6111") + COUNTIF('Avril'!G6:P6,"6112") + COUNTIF('Avril'!B12:P12,"6112") + COUNTIF('Mai'!B6:D6,"6112") + COUNTIF('Avril'!G6:P6,"6121") + COUNTIF('Avril'!B12:P12,"6121") + COUNTIF('Mai'!B6:D6,"6121") + COUNTIF('Avril'!G6:P6,"7101") + COUNTIF('Avril'!B12:P12,"7101") + COUNTIF('Mai'!B6:D6,"7101") + COUNTIF('Avril'!G6:P6,"7102") + COUNTIF('Avril'!B12:P12,"7102") + COUNTIF('Mai'!B6:D6,"7102") + COUNTIF('Avril'!G6:P6,"7111") + COUNTIF('Avril'!B12:P12,"7111") + COUNTIF('Mai'!B6:D6,"7111") + COUNTIF('Avril'!G6:P6,"7112") + COUNTIF('Avril'!B12:P12,"7112") + COUNTIF('Mai'!B6:D6,"7112") + COUNTIF('Avril'!G6:P6,"7121") + COUNTIF('Avril'!B12:P12,"7121") + COUNTIF('Mai'!B6:D6,"7121") + COUNTIF('Avril'!G6:P6,"X_AM") + COUNTIF('Avril'!B12:P12,"X_AM") + COUNTIF('Mai'!B6:D6,"X_AM") + COUNTIF('Avril'!G6:P6,"X_PM") + COUNTIF('Avril'!B12:P12,"X_PM") + COUNTIF('Mai'!B6:D6,"X_PM") + COUNTIF('Avril'!G6:P6,"X_10") + COUNTIF('Avril'!B12:P12,"X_10") + COUNTIF('Mai'!B6:D6,"X_10") + COUNTIF('Avril'!G6:P6,"AG") + COUNTIF('Avril'!B12:P12,"AG") + COUNTIF('Mai'!B6:D6,"AG") + COUNTIF('Avril'!G6:P6,"CN") + COUNTIF('Avril'!B12:P12,"CN") + COUNTIF('Mai'!B6:D6,"CN") + COUNTIF('Avril'!G6:P6,"JC") + COUNTIF('Avril'!B12:P12,"JC") + COUNTIF('Mai'!B6:D6,"JC") + COUNTIF('Avril'!G6:P6,"RR") + COUNTIF('Avril'!B12:P12,"RR") + COUNTIF('Mai'!B6:D6,"RR") + COUNTIF('Avril'!G6:P6,"ZM") + COUNTIF('Avril'!B12:P12,"ZM") + COUNTIF('Mai'!B6:D6,"ZM") + COUNTIF('Avril'!G6:P6,"CV") + COUNTIF('Avril'!B12:P12,"CV") + COUNTIF('Mai'!B6:D6,"CV"))*8</f>
        <v/>
      </c>
      <c r="C56" s="105">
        <f>COUNTIF('Avril'!G6:P6,"CH")+COUNTIF('Avril'!B12:P12,"CH")+COUNTIF('Mai'!B6:D6,"CH")</f>
        <v/>
      </c>
      <c r="D56" s="105">
        <f>COUNTIF('Avril'!G6:P6,"RH")+COUNTIF('Avril'!B12:P12,"RH")+COUNTIF('Mai'!B6:D6,"RH")</f>
        <v/>
      </c>
      <c r="E56" s="105">
        <f>COUNTIF('Avril'!G6:P6,"CV")+COUNTIF('Avril'!B12:P12,"CV")+COUNTIF('Mai'!B6:D6,"CV")</f>
        <v/>
      </c>
      <c r="F56" s="105">
        <f>COUNTIF('Avril'!G6:P6,"RR")+COUNTIF('Avril'!B12:P12,"RR")+COUNTIF('Mai'!B6:D6,"RR")</f>
        <v/>
      </c>
      <c r="G56" s="105">
        <f>SUM(COUNTIF('Avril'!G6,{7101,7102,7111,7112,7121}))+SUM(COUNTIF('Mai'!B6,{7101,7102,7111,7112,7121}))</f>
        <v/>
      </c>
      <c r="H56" s="105">
        <f>IF(B56&gt;160,"⚠ &gt;160h",IF(C56&lt;&gt;4,"⚠ CH≠4",IF(D56&lt;&gt;4,"⚠ RH≠4",IF(E56&lt;&gt;1,"⚠ CV≠1",IF(AND(G56&gt;0,F56=0),"⚠ RR manquant","✓ OK")))))</f>
        <v/>
      </c>
      <c r="I56" s="106" t="n"/>
      <c r="J56" s="106" t="n"/>
    </row>
    <row r="57" ht="15" customHeight="1" s="67">
      <c r="A57" s="130" t="n"/>
      <c r="B57" s="130" t="n"/>
      <c r="C57" s="130" t="n"/>
      <c r="D57" s="130" t="n"/>
      <c r="E57" s="106" t="n"/>
      <c r="F57" s="106" t="n"/>
      <c r="G57" s="106" t="n"/>
      <c r="H57" s="106" t="n"/>
      <c r="I57" s="106" t="n"/>
      <c r="J57" s="106" t="n"/>
    </row>
    <row r="58">
      <c r="A58" s="106" t="n"/>
      <c r="B58" s="106" t="n"/>
      <c r="C58" s="106" t="n"/>
      <c r="D58" s="106" t="n"/>
      <c r="E58" s="106" t="n"/>
      <c r="F58" s="106" t="n"/>
      <c r="G58" s="106" t="n"/>
      <c r="H58" s="106" t="n"/>
      <c r="I58" s="106" t="n"/>
      <c r="J58" s="106" t="n"/>
    </row>
    <row r="59">
      <c r="A59" s="106" t="n"/>
      <c r="B59" s="106" t="n"/>
      <c r="C59" s="106" t="n"/>
      <c r="D59" s="106" t="n"/>
      <c r="E59" s="106" t="n"/>
      <c r="F59" s="106" t="n"/>
      <c r="G59" s="106" t="n"/>
      <c r="H59" s="106" t="n"/>
      <c r="I59" s="106" t="n"/>
      <c r="J59" s="106" t="n"/>
    </row>
    <row r="60">
      <c r="A60" s="106" t="n"/>
      <c r="B60" s="106" t="n"/>
      <c r="C60" s="106" t="n"/>
      <c r="D60" s="106" t="n"/>
      <c r="E60" s="106" t="n"/>
      <c r="F60" s="106" t="n"/>
      <c r="G60" s="106" t="n"/>
      <c r="H60" s="106" t="n"/>
      <c r="I60" s="106" t="n"/>
      <c r="J60" s="106" t="n"/>
    </row>
    <row r="61">
      <c r="A61" s="106" t="n"/>
      <c r="B61" s="106" t="n"/>
      <c r="C61" s="106" t="n"/>
      <c r="D61" s="106" t="n"/>
      <c r="E61" s="106" t="n"/>
      <c r="F61" s="106" t="n"/>
      <c r="G61" s="106" t="n"/>
      <c r="H61" s="106" t="n"/>
      <c r="I61" s="106" t="n"/>
      <c r="J61" s="106" t="n"/>
    </row>
    <row r="62">
      <c r="A62" s="106" t="n"/>
      <c r="B62" s="106" t="n"/>
      <c r="C62" s="106" t="n"/>
      <c r="D62" s="106" t="n"/>
      <c r="E62" s="106" t="n"/>
      <c r="F62" s="106" t="n"/>
      <c r="G62" s="106" t="n"/>
      <c r="H62" s="106" t="n"/>
      <c r="I62" s="106" t="n"/>
      <c r="J62" s="106" t="n"/>
    </row>
    <row r="63">
      <c r="A63" s="106" t="n"/>
      <c r="B63" s="106" t="n"/>
      <c r="C63" s="106" t="n"/>
      <c r="D63" s="106" t="n"/>
      <c r="E63" s="106" t="n"/>
      <c r="F63" s="106" t="n"/>
      <c r="G63" s="106" t="n"/>
      <c r="H63" s="106" t="n"/>
      <c r="I63" s="106" t="n"/>
      <c r="J63" s="106" t="n"/>
    </row>
    <row r="64">
      <c r="A64" s="106" t="n"/>
      <c r="B64" s="106" t="n"/>
      <c r="C64" s="106" t="n"/>
      <c r="D64" s="106" t="n"/>
      <c r="E64" s="106" t="n"/>
      <c r="F64" s="106" t="n"/>
      <c r="G64" s="106" t="n"/>
      <c r="H64" s="106" t="n"/>
      <c r="I64" s="106" t="n"/>
      <c r="J64" s="106" t="n"/>
    </row>
    <row r="65">
      <c r="A65" s="106" t="n"/>
      <c r="B65" s="106" t="n"/>
      <c r="C65" s="106" t="n"/>
      <c r="D65" s="106" t="n"/>
      <c r="E65" s="106" t="n"/>
      <c r="F65" s="106" t="n"/>
      <c r="G65" s="106" t="n"/>
      <c r="H65" s="106" t="n"/>
      <c r="I65" s="106" t="n"/>
      <c r="J65" s="106" t="n"/>
    </row>
    <row r="66">
      <c r="A66" s="106" t="n"/>
      <c r="B66" s="106" t="n"/>
      <c r="C66" s="106" t="n"/>
      <c r="D66" s="106" t="n"/>
      <c r="E66" s="106" t="n"/>
      <c r="F66" s="106" t="n"/>
      <c r="G66" s="106" t="n"/>
      <c r="H66" s="106" t="n"/>
      <c r="I66" s="106" t="n"/>
      <c r="J66" s="106" t="n"/>
    </row>
    <row r="67">
      <c r="A67" s="106" t="n"/>
      <c r="B67" s="106" t="n"/>
      <c r="C67" s="106" t="n"/>
      <c r="D67" s="106" t="n"/>
      <c r="E67" s="106" t="n"/>
      <c r="F67" s="106" t="n"/>
      <c r="G67" s="106" t="n"/>
      <c r="H67" s="106" t="n"/>
      <c r="I67" s="106" t="n"/>
      <c r="J67" s="106" t="n"/>
    </row>
    <row r="68">
      <c r="A68" s="106" t="n"/>
      <c r="B68" s="106" t="n"/>
      <c r="C68" s="106" t="n"/>
      <c r="D68" s="106" t="n"/>
      <c r="E68" s="106" t="n"/>
      <c r="F68" s="106" t="n"/>
      <c r="G68" s="106" t="n"/>
      <c r="H68" s="106" t="n"/>
      <c r="I68" s="106" t="n"/>
      <c r="J68" s="106" t="n"/>
    </row>
    <row r="69">
      <c r="A69" s="106" t="n"/>
      <c r="B69" s="106" t="n"/>
      <c r="C69" s="106" t="n"/>
      <c r="D69" s="106" t="n"/>
      <c r="E69" s="106" t="n"/>
      <c r="F69" s="106" t="n"/>
      <c r="G69" s="106" t="n"/>
      <c r="H69" s="106" t="n"/>
      <c r="I69" s="106" t="n"/>
      <c r="J69" s="106" t="n"/>
    </row>
    <row r="70">
      <c r="A70" s="106" t="n"/>
      <c r="B70" s="106" t="n"/>
      <c r="C70" s="106" t="n"/>
      <c r="D70" s="106" t="n"/>
      <c r="E70" s="106" t="n"/>
      <c r="F70" s="106" t="n"/>
      <c r="G70" s="106" t="n"/>
      <c r="H70" s="106" t="n"/>
      <c r="I70" s="106" t="n"/>
      <c r="J70" s="106" t="n"/>
    </row>
    <row r="71">
      <c r="A71" s="106" t="n"/>
      <c r="B71" s="106" t="n"/>
      <c r="C71" s="106" t="n"/>
      <c r="D71" s="106" t="n"/>
      <c r="E71" s="106" t="n"/>
      <c r="F71" s="106" t="n"/>
      <c r="G71" s="106" t="n"/>
      <c r="H71" s="106" t="n"/>
      <c r="I71" s="106" t="n"/>
      <c r="J71" s="106" t="n"/>
    </row>
    <row r="72">
      <c r="A72" s="106" t="n"/>
      <c r="B72" s="106" t="n"/>
      <c r="C72" s="106" t="n"/>
      <c r="D72" s="106" t="n"/>
      <c r="E72" s="106" t="n"/>
      <c r="F72" s="106" t="n"/>
      <c r="G72" s="106" t="n"/>
      <c r="H72" s="106" t="n"/>
      <c r="I72" s="106" t="n"/>
      <c r="J72" s="106" t="n"/>
    </row>
    <row r="73">
      <c r="A73" s="106" t="n"/>
      <c r="B73" s="106" t="n"/>
      <c r="C73" s="106" t="n"/>
      <c r="D73" s="106" t="n"/>
      <c r="E73" s="106" t="n"/>
      <c r="F73" s="106" t="n"/>
      <c r="G73" s="106" t="n"/>
      <c r="H73" s="106" t="n"/>
      <c r="I73" s="106" t="n"/>
      <c r="J73" s="106" t="n"/>
    </row>
    <row r="74">
      <c r="A74" s="106" t="n"/>
      <c r="B74" s="106" t="n"/>
      <c r="C74" s="106" t="n"/>
      <c r="D74" s="106" t="n"/>
      <c r="E74" s="106" t="n"/>
      <c r="F74" s="106" t="n"/>
      <c r="G74" s="106" t="n"/>
      <c r="H74" s="106" t="n"/>
      <c r="I74" s="106" t="n"/>
      <c r="J74" s="106" t="n"/>
    </row>
    <row r="75">
      <c r="A75" s="106" t="n"/>
      <c r="B75" s="106" t="n"/>
      <c r="C75" s="106" t="n"/>
      <c r="D75" s="106" t="n"/>
      <c r="E75" s="106" t="n"/>
      <c r="F75" s="106" t="n"/>
      <c r="G75" s="106" t="n"/>
      <c r="H75" s="106" t="n"/>
      <c r="I75" s="106" t="n"/>
      <c r="J75" s="106" t="n"/>
    </row>
    <row r="76">
      <c r="A76" s="106" t="n"/>
      <c r="B76" s="106" t="n"/>
      <c r="C76" s="106" t="n"/>
      <c r="D76" s="106" t="n"/>
      <c r="E76" s="106" t="n"/>
      <c r="F76" s="106" t="n"/>
      <c r="G76" s="106" t="n"/>
      <c r="H76" s="106" t="n"/>
      <c r="I76" s="106" t="n"/>
      <c r="J76" s="106" t="n"/>
    </row>
    <row r="77">
      <c r="A77" s="106" t="n"/>
      <c r="B77" s="106" t="n"/>
      <c r="C77" s="106" t="n"/>
      <c r="D77" s="106" t="n"/>
      <c r="E77" s="106" t="n"/>
      <c r="F77" s="106" t="n"/>
      <c r="G77" s="106" t="n"/>
      <c r="H77" s="106" t="n"/>
      <c r="I77" s="106" t="n"/>
      <c r="J77" s="106" t="n"/>
    </row>
    <row r="78">
      <c r="A78" s="106" t="n"/>
      <c r="B78" s="106" t="n"/>
      <c r="C78" s="106" t="n"/>
      <c r="D78" s="106" t="n"/>
      <c r="E78" s="106" t="n"/>
      <c r="F78" s="106" t="n"/>
      <c r="G78" s="106" t="n"/>
      <c r="H78" s="106" t="n"/>
      <c r="I78" s="106" t="n"/>
      <c r="J78" s="106" t="n"/>
    </row>
    <row r="79">
      <c r="A79" s="106" t="n"/>
      <c r="B79" s="106" t="n"/>
      <c r="C79" s="106" t="n"/>
      <c r="D79" s="106" t="n"/>
      <c r="E79" s="106" t="n"/>
      <c r="F79" s="106" t="n"/>
      <c r="G79" s="106" t="n"/>
      <c r="H79" s="106" t="n"/>
      <c r="I79" s="106" t="n"/>
      <c r="J79" s="106" t="n"/>
    </row>
    <row r="80">
      <c r="A80" s="106" t="n"/>
      <c r="B80" s="106" t="n"/>
      <c r="C80" s="106" t="n"/>
      <c r="D80" s="106" t="n"/>
      <c r="E80" s="106" t="n"/>
      <c r="F80" s="106" t="n"/>
      <c r="G80" s="106" t="n"/>
      <c r="H80" s="106" t="n"/>
      <c r="I80" s="106" t="n"/>
      <c r="J80" s="106" t="n"/>
    </row>
    <row r="81">
      <c r="A81" s="106" t="n"/>
      <c r="B81" s="106" t="n"/>
      <c r="C81" s="106" t="n"/>
      <c r="D81" s="106" t="n"/>
      <c r="E81" s="106" t="n"/>
      <c r="F81" s="106" t="n"/>
      <c r="G81" s="106" t="n"/>
      <c r="H81" s="106" t="n"/>
      <c r="I81" s="106" t="n"/>
      <c r="J81" s="106" t="n"/>
    </row>
    <row r="82">
      <c r="A82" s="106" t="n"/>
      <c r="B82" s="106" t="n"/>
      <c r="C82" s="106" t="n"/>
      <c r="D82" s="106" t="n"/>
      <c r="E82" s="106" t="n"/>
      <c r="F82" s="106" t="n"/>
      <c r="G82" s="106" t="n"/>
      <c r="H82" s="106" t="n"/>
      <c r="I82" s="106" t="n"/>
      <c r="J82" s="106" t="n"/>
    </row>
    <row r="83">
      <c r="A83" s="106" t="n"/>
      <c r="B83" s="106" t="n"/>
      <c r="C83" s="106" t="n"/>
      <c r="D83" s="106" t="n"/>
      <c r="E83" s="106" t="n"/>
      <c r="F83" s="106" t="n"/>
      <c r="G83" s="106" t="n"/>
      <c r="H83" s="106" t="n"/>
      <c r="I83" s="106" t="n"/>
      <c r="J83" s="106" t="n"/>
    </row>
    <row r="84">
      <c r="A84" s="106" t="n"/>
      <c r="B84" s="106" t="n"/>
      <c r="C84" s="106" t="n"/>
      <c r="D84" s="106" t="n"/>
      <c r="E84" s="106" t="n"/>
      <c r="F84" s="106" t="n"/>
      <c r="G84" s="106" t="n"/>
      <c r="H84" s="106" t="n"/>
      <c r="I84" s="106" t="n"/>
      <c r="J84" s="106" t="n"/>
    </row>
    <row r="85">
      <c r="A85" s="106" t="n"/>
      <c r="B85" s="106" t="n"/>
      <c r="C85" s="106" t="n"/>
      <c r="D85" s="106" t="n"/>
      <c r="E85" s="106" t="n"/>
      <c r="F85" s="106" t="n"/>
      <c r="G85" s="106" t="n"/>
      <c r="H85" s="106" t="n"/>
      <c r="I85" s="106" t="n"/>
      <c r="J85" s="106" t="n"/>
    </row>
    <row r="86">
      <c r="A86" s="106" t="n"/>
      <c r="B86" s="106" t="n"/>
      <c r="C86" s="106" t="n"/>
      <c r="D86" s="106" t="n"/>
      <c r="E86" s="106" t="n"/>
      <c r="F86" s="106" t="n"/>
      <c r="G86" s="106" t="n"/>
      <c r="H86" s="106" t="n"/>
      <c r="I86" s="106" t="n"/>
      <c r="J86" s="106" t="n"/>
    </row>
    <row r="87">
      <c r="A87" s="106" t="n"/>
      <c r="B87" s="106" t="n"/>
      <c r="C87" s="106" t="n"/>
      <c r="D87" s="106" t="n"/>
      <c r="E87" s="106" t="n"/>
      <c r="F87" s="106" t="n"/>
      <c r="G87" s="106" t="n"/>
      <c r="H87" s="106" t="n"/>
      <c r="I87" s="106" t="n"/>
      <c r="J87" s="106" t="n"/>
    </row>
    <row r="88">
      <c r="A88" s="106" t="n"/>
      <c r="B88" s="106" t="n"/>
      <c r="C88" s="106" t="n"/>
      <c r="D88" s="106" t="n"/>
      <c r="E88" s="106" t="n"/>
      <c r="F88" s="106" t="n"/>
      <c r="G88" s="106" t="n"/>
      <c r="H88" s="106" t="n"/>
      <c r="I88" s="106" t="n"/>
      <c r="J88" s="106" t="n"/>
    </row>
    <row r="89">
      <c r="A89" s="106" t="n"/>
      <c r="B89" s="106" t="n"/>
      <c r="C89" s="106" t="n"/>
      <c r="D89" s="106" t="n"/>
      <c r="E89" s="106" t="n"/>
      <c r="F89" s="106" t="n"/>
      <c r="G89" s="106" t="n"/>
      <c r="H89" s="106" t="n"/>
      <c r="I89" s="106" t="n"/>
      <c r="J89" s="106" t="n"/>
    </row>
    <row r="90">
      <c r="A90" s="106" t="n"/>
      <c r="B90" s="106" t="n"/>
      <c r="C90" s="106" t="n"/>
      <c r="D90" s="106" t="n"/>
      <c r="E90" s="106" t="n"/>
      <c r="F90" s="106" t="n"/>
      <c r="G90" s="106" t="n"/>
      <c r="H90" s="106" t="n"/>
      <c r="I90" s="106" t="n"/>
      <c r="J90" s="106" t="n"/>
    </row>
    <row r="91">
      <c r="A91" s="106" t="n"/>
      <c r="B91" s="106" t="n"/>
      <c r="C91" s="106" t="n"/>
      <c r="D91" s="106" t="n"/>
      <c r="E91" s="106" t="n"/>
      <c r="F91" s="106" t="n"/>
      <c r="G91" s="106" t="n"/>
      <c r="H91" s="106" t="n"/>
      <c r="I91" s="106" t="n"/>
      <c r="J91" s="106" t="n"/>
    </row>
    <row r="92">
      <c r="A92" s="106" t="n"/>
      <c r="B92" s="106" t="n"/>
      <c r="C92" s="106" t="n"/>
      <c r="D92" s="106" t="n"/>
      <c r="E92" s="106" t="n"/>
      <c r="F92" s="106" t="n"/>
      <c r="G92" s="106" t="n"/>
      <c r="H92" s="106" t="n"/>
      <c r="I92" s="106" t="n"/>
      <c r="J92" s="106" t="n"/>
    </row>
    <row r="93">
      <c r="A93" s="106" t="n"/>
      <c r="B93" s="106" t="n"/>
      <c r="C93" s="106" t="n"/>
      <c r="D93" s="106" t="n"/>
      <c r="E93" s="106" t="n"/>
      <c r="F93" s="106" t="n"/>
      <c r="G93" s="106" t="n"/>
      <c r="H93" s="106" t="n"/>
      <c r="I93" s="106" t="n"/>
      <c r="J93" s="106" t="n"/>
    </row>
    <row r="94">
      <c r="A94" s="106" t="n"/>
      <c r="B94" s="106" t="n"/>
      <c r="C94" s="106" t="n"/>
      <c r="D94" s="106" t="n"/>
      <c r="E94" s="106" t="n"/>
      <c r="F94" s="106" t="n"/>
      <c r="G94" s="106" t="n"/>
      <c r="H94" s="106" t="n"/>
      <c r="I94" s="106" t="n"/>
      <c r="J94" s="106" t="n"/>
    </row>
    <row r="95">
      <c r="A95" s="106" t="n"/>
      <c r="B95" s="106" t="n"/>
      <c r="C95" s="106" t="n"/>
      <c r="D95" s="106" t="n"/>
      <c r="E95" s="106" t="n"/>
      <c r="F95" s="106" t="n"/>
      <c r="G95" s="106" t="n"/>
      <c r="H95" s="106" t="n"/>
      <c r="I95" s="106" t="n"/>
      <c r="J95" s="106" t="n"/>
    </row>
    <row r="96">
      <c r="A96" s="106" t="n"/>
      <c r="B96" s="106" t="n"/>
      <c r="C96" s="106" t="n"/>
      <c r="D96" s="106" t="n"/>
      <c r="E96" s="106" t="n"/>
      <c r="F96" s="106" t="n"/>
      <c r="G96" s="106" t="n"/>
      <c r="H96" s="106" t="n"/>
      <c r="I96" s="106" t="n"/>
      <c r="J96" s="106" t="n"/>
    </row>
    <row r="97">
      <c r="A97" s="106" t="n"/>
      <c r="B97" s="106" t="n"/>
      <c r="C97" s="106" t="n"/>
      <c r="D97" s="106" t="n"/>
      <c r="E97" s="106" t="n"/>
      <c r="F97" s="106" t="n"/>
      <c r="G97" s="106" t="n"/>
      <c r="H97" s="106" t="n"/>
      <c r="I97" s="106" t="n"/>
      <c r="J97" s="106" t="n"/>
    </row>
    <row r="98">
      <c r="A98" s="106" t="n"/>
      <c r="B98" s="106" t="n"/>
      <c r="C98" s="106" t="n"/>
      <c r="D98" s="106" t="n"/>
      <c r="E98" s="106" t="n"/>
      <c r="F98" s="106" t="n"/>
      <c r="G98" s="106" t="n"/>
      <c r="H98" s="106" t="n"/>
      <c r="I98" s="106" t="n"/>
      <c r="J98" s="106" t="n"/>
    </row>
    <row r="99">
      <c r="A99" s="106" t="n"/>
      <c r="B99" s="106" t="n"/>
      <c r="C99" s="106" t="n"/>
      <c r="D99" s="106" t="n"/>
      <c r="E99" s="106" t="n"/>
      <c r="F99" s="106" t="n"/>
      <c r="G99" s="106" t="n"/>
      <c r="H99" s="106" t="n"/>
      <c r="I99" s="106" t="n"/>
      <c r="J99" s="106" t="n"/>
    </row>
    <row r="100">
      <c r="A100" s="106" t="n"/>
      <c r="B100" s="106" t="n"/>
      <c r="C100" s="106" t="n"/>
      <c r="D100" s="106" t="n"/>
      <c r="E100" s="106" t="n"/>
      <c r="F100" s="106" t="n"/>
      <c r="G100" s="106" t="n"/>
      <c r="H100" s="106" t="n"/>
      <c r="I100" s="106" t="n"/>
      <c r="J100" s="106" t="n"/>
    </row>
  </sheetData>
  <mergeCells count="1">
    <mergeCell ref="A1:P1"/>
  </mergeCells>
  <conditionalFormatting sqref="B6:P6 B12:P12">
    <cfRule type="cellIs" rank="0" priority="2" equalAverage="0" operator="equal" aboveAverage="0" dxfId="0" text="" percent="0" bottom="0">
      <formula>101</formula>
    </cfRule>
    <cfRule type="cellIs" rank="0" priority="3" equalAverage="0" operator="equal" aboveAverage="0" dxfId="1" text="" percent="0" bottom="0">
      <formula>102</formula>
    </cfRule>
    <cfRule type="cellIs" rank="0" priority="4" equalAverage="0" operator="equal" aboveAverage="0" dxfId="2" text="" percent="0" bottom="0">
      <formula>111</formula>
    </cfRule>
    <cfRule type="cellIs" rank="0" priority="5" equalAverage="0" operator="equal" aboveAverage="0" dxfId="3" text="" percent="0" bottom="0">
      <formula>112</formula>
    </cfRule>
    <cfRule type="cellIs" rank="0" priority="6" equalAverage="0" operator="equal" aboveAverage="0" dxfId="4" text="" percent="0" bottom="0">
      <formula>121</formula>
    </cfRule>
    <cfRule type="cellIs" rank="0" priority="7" equalAverage="0" operator="equal" aboveAverage="0" dxfId="0" text="" percent="0" bottom="0">
      <formula>6101</formula>
    </cfRule>
    <cfRule type="cellIs" rank="0" priority="8" equalAverage="0" operator="equal" aboveAverage="0" dxfId="1" text="" percent="0" bottom="0">
      <formula>6102</formula>
    </cfRule>
    <cfRule type="cellIs" rank="0" priority="9" equalAverage="0" operator="equal" aboveAverage="0" dxfId="2" text="" percent="0" bottom="0">
      <formula>6111</formula>
    </cfRule>
    <cfRule type="cellIs" rank="0" priority="10" equalAverage="0" operator="equal" aboveAverage="0" dxfId="3" text="" percent="0" bottom="0">
      <formula>6112</formula>
    </cfRule>
    <cfRule type="cellIs" rank="0" priority="11" equalAverage="0" operator="equal" aboveAverage="0" dxfId="4" text="" percent="0" bottom="0">
      <formula>6121</formula>
    </cfRule>
    <cfRule type="cellIs" rank="0" priority="12" equalAverage="0" operator="equal" aboveAverage="0" dxfId="0" text="" percent="0" bottom="0">
      <formula>7101</formula>
    </cfRule>
    <cfRule type="cellIs" rank="0" priority="13" equalAverage="0" operator="equal" aboveAverage="0" dxfId="1" text="" percent="0" bottom="0">
      <formula>7102</formula>
    </cfRule>
    <cfRule type="cellIs" rank="0" priority="14" equalAverage="0" operator="equal" aboveAverage="0" dxfId="2" text="" percent="0" bottom="0">
      <formula>7111</formula>
    </cfRule>
    <cfRule type="cellIs" rank="0" priority="15" equalAverage="0" operator="equal" aboveAverage="0" dxfId="3" text="" percent="0" bottom="0">
      <formula>7112</formula>
    </cfRule>
    <cfRule type="cellIs" rank="0" priority="16" equalAverage="0" operator="equal" aboveAverage="0" dxfId="4" text="" percent="0" bottom="0">
      <formula>7121</formula>
    </cfRule>
    <cfRule type="cellIs" rank="0" priority="17" equalAverage="0" operator="equal" aboveAverage="0" dxfId="5" text="" percent="0" bottom="0">
      <formula>"X_AM"</formula>
    </cfRule>
    <cfRule type="cellIs" rank="0" priority="18" equalAverage="0" operator="equal" aboveAverage="0" dxfId="5" text="" percent="0" bottom="0">
      <formula>"X_PM"</formula>
    </cfRule>
    <cfRule type="cellIs" rank="0" priority="19" equalAverage="0" operator="equal" aboveAverage="0" dxfId="6" text="" percent="0" bottom="0">
      <formula>"X_10"</formula>
    </cfRule>
    <cfRule type="cellIs" rank="0" priority="20" equalAverage="0" operator="equal" aboveAverage="0" dxfId="7" text="" percent="0" bottom="0">
      <formula>"CN"</formula>
    </cfRule>
    <cfRule type="cellIs" rank="0" priority="21" equalAverage="0" operator="equal" aboveAverage="0" dxfId="7" text="" percent="0" bottom="0">
      <formula>"JC"</formula>
    </cfRule>
    <cfRule type="cellIs" rank="0" priority="22" equalAverage="0" operator="equal" aboveAverage="0" dxfId="8" text="" percent="0" bottom="0">
      <formula>"RH"</formula>
    </cfRule>
    <cfRule type="cellIs" rank="0" priority="23" equalAverage="0" operator="equal" aboveAverage="0" dxfId="9" text="" percent="0" bottom="0">
      <formula>"CH"</formula>
    </cfRule>
    <cfRule type="cellIs" rank="0" priority="24" equalAverage="0" operator="equal" aboveAverage="0" dxfId="10" text="" percent="0" bottom="0">
      <formula>"RR"</formula>
    </cfRule>
    <cfRule type="cellIs" rank="0" priority="25" equalAverage="0" operator="equal" aboveAverage="0" dxfId="11" text="" percent="0" bottom="0">
      <formula>"ZM"</formula>
    </cfRule>
  </conditionalFormatting>
  <conditionalFormatting sqref="B56 B57">
    <cfRule type="cellIs" rank="0" priority="26" equalAverage="0" operator="greaterThan" aboveAverage="0" dxfId="12" text="" percent="0" bottom="0">
      <formula>160</formula>
    </cfRule>
  </conditionalFormatting>
  <conditionalFormatting sqref="B6:Q6">
    <cfRule type="cellIs" priority="26" operator="equal" dxfId="13">
      <formula>"CV"</formula>
    </cfRule>
    <cfRule type="cellIs" priority="27" operator="equal" dxfId="14">
      <formula>"AG"</formula>
    </cfRule>
  </conditionalFormatting>
  <conditionalFormatting sqref="B12:Q12">
    <cfRule type="cellIs" priority="28" operator="equal" dxfId="13">
      <formula>"CV"</formula>
    </cfRule>
    <cfRule type="cellIs" priority="29" operator="equal" dxfId="14">
      <formula>"AG"</formula>
    </cfRule>
  </conditionalFormatting>
  <conditionalFormatting sqref="B55">
    <cfRule type="cellIs" priority="30" operator="greaterThan" dxfId="15">
      <formula>160</formula>
    </cfRule>
  </conditionalFormatting>
  <conditionalFormatting sqref="C55">
    <cfRule type="cellIs" priority="31" operator="notEqual" dxfId="16">
      <formula>4</formula>
    </cfRule>
  </conditionalFormatting>
  <conditionalFormatting sqref="D55">
    <cfRule type="cellIs" priority="32" operator="notEqual" dxfId="16">
      <formula>4</formula>
    </cfRule>
  </conditionalFormatting>
  <conditionalFormatting sqref="E55">
    <cfRule type="cellIs" priority="33" operator="notEqual" dxfId="16">
      <formula>1</formula>
    </cfRule>
  </conditionalFormatting>
  <conditionalFormatting sqref="H55">
    <cfRule type="cellIs" priority="34" operator="equal" dxfId="17">
      <formula>"✓ OK"</formula>
    </cfRule>
    <cfRule type="cellIs" priority="35" operator="notEqual" dxfId="15">
      <formula>"✓ OK"</formula>
    </cfRule>
  </conditionalFormatting>
  <conditionalFormatting sqref="B56">
    <cfRule type="cellIs" priority="36" operator="greaterThan" dxfId="15">
      <formula>160</formula>
    </cfRule>
  </conditionalFormatting>
  <conditionalFormatting sqref="C56">
    <cfRule type="cellIs" priority="37" operator="notEqual" dxfId="16">
      <formula>4</formula>
    </cfRule>
  </conditionalFormatting>
  <conditionalFormatting sqref="D56">
    <cfRule type="cellIs" priority="38" operator="notEqual" dxfId="16">
      <formula>4</formula>
    </cfRule>
  </conditionalFormatting>
  <conditionalFormatting sqref="E56">
    <cfRule type="cellIs" priority="39" operator="notEqual" dxfId="16">
      <formula>1</formula>
    </cfRule>
  </conditionalFormatting>
  <conditionalFormatting sqref="H56">
    <cfRule type="cellIs" priority="40" operator="equal" dxfId="17">
      <formula>"✓ OK"</formula>
    </cfRule>
    <cfRule type="cellIs" priority="41" operator="notEqual" dxfId="15">
      <formula>"✓ OK"</formula>
    </cfRule>
  </conditionalFormatting>
  <dataValidations count="1">
    <dataValidation sqref="B6:Q6 B12:Q12" showDropDown="0" showInputMessage="0" showErrorMessage="0" allowBlank="1" type="list">
      <formula1>"101,102,111,112,121,6101,6102,6111,6112,6121,7101,7102,7111,7112,7121,X_AM,X_PM,X_10,AG,CN,JC,RH,CH,RR,CV,ZM"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Q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L48:L49 A1"/>
    </sheetView>
  </sheetViews>
  <sheetFormatPr baseColWidth="8" defaultColWidth="8.6796875" defaultRowHeight="15" customHeight="0" zeroHeight="0" outlineLevelRow="0"/>
  <cols>
    <col width="45" customWidth="1" style="66" min="1" max="1"/>
    <col width="10" customWidth="1" style="66" min="2" max="17"/>
  </cols>
  <sheetData>
    <row r="1" ht="24.75" customHeight="1" s="67">
      <c r="A1" s="107" t="inlineStr">
        <is>
          <t>MAI 2026</t>
        </is>
      </c>
      <c r="Q1" s="69" t="n"/>
    </row>
    <row r="2" ht="15" customHeight="1" s="67">
      <c r="A2" s="69" t="n"/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</row>
    <row r="3" ht="15" customHeight="1" s="67">
      <c r="A3" s="108" t="inlineStr">
        <is>
          <t>Jours 1-15</t>
        </is>
      </c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</row>
    <row r="4" ht="18" customHeight="1" s="67">
      <c r="A4" s="76" t="inlineStr">
        <is>
          <t>Jour</t>
        </is>
      </c>
      <c r="B4" s="109" t="n">
        <v>1</v>
      </c>
      <c r="C4" s="111" t="n">
        <v>2</v>
      </c>
      <c r="D4" s="112" t="n">
        <v>3</v>
      </c>
      <c r="E4" s="112" t="n">
        <v>4</v>
      </c>
      <c r="F4" s="110" t="n">
        <v>5</v>
      </c>
      <c r="G4" s="110" t="n">
        <v>6</v>
      </c>
      <c r="H4" s="110" t="n">
        <v>7</v>
      </c>
      <c r="I4" s="110" t="n">
        <v>8</v>
      </c>
      <c r="J4" s="111" t="n">
        <v>9</v>
      </c>
      <c r="K4" s="111" t="n">
        <v>10</v>
      </c>
      <c r="L4" s="110" t="n">
        <v>11</v>
      </c>
      <c r="M4" s="110" t="n">
        <v>12</v>
      </c>
      <c r="N4" s="110" t="n">
        <v>13</v>
      </c>
      <c r="O4" s="109" t="n">
        <v>14</v>
      </c>
      <c r="P4" s="110" t="n">
        <v>15</v>
      </c>
      <c r="Q4" s="69" t="n"/>
    </row>
    <row r="5" ht="18" customHeight="1" s="67">
      <c r="A5" s="76" t="inlineStr">
        <is>
          <t>J.sem</t>
        </is>
      </c>
      <c r="B5" s="113" t="inlineStr">
        <is>
          <t>V</t>
        </is>
      </c>
      <c r="C5" s="111" t="inlineStr">
        <is>
          <t>S</t>
        </is>
      </c>
      <c r="D5" s="112" t="inlineStr">
        <is>
          <t>D</t>
        </is>
      </c>
      <c r="E5" s="112" t="inlineStr">
        <is>
          <t>L</t>
        </is>
      </c>
      <c r="F5" s="110" t="inlineStr">
        <is>
          <t>M</t>
        </is>
      </c>
      <c r="G5" s="110" t="inlineStr">
        <is>
          <t>M</t>
        </is>
      </c>
      <c r="H5" s="110" t="inlineStr">
        <is>
          <t>J</t>
        </is>
      </c>
      <c r="I5" s="110" t="inlineStr">
        <is>
          <t>V</t>
        </is>
      </c>
      <c r="J5" s="111" t="inlineStr">
        <is>
          <t>S</t>
        </is>
      </c>
      <c r="K5" s="111" t="inlineStr">
        <is>
          <t>D</t>
        </is>
      </c>
      <c r="L5" s="110" t="inlineStr">
        <is>
          <t>L</t>
        </is>
      </c>
      <c r="M5" s="110" t="inlineStr">
        <is>
          <t>M</t>
        </is>
      </c>
      <c r="N5" s="110" t="inlineStr">
        <is>
          <t>M</t>
        </is>
      </c>
      <c r="O5" s="113" t="inlineStr">
        <is>
          <t>J</t>
        </is>
      </c>
      <c r="P5" s="110" t="inlineStr">
        <is>
          <t>V</t>
        </is>
      </c>
      <c r="Q5" s="69" t="n"/>
    </row>
    <row r="6" ht="24.75" customHeight="1" s="67">
      <c r="A6" s="76" t="inlineStr">
        <is>
          <t>Code</t>
        </is>
      </c>
      <c r="B6" s="114" t="n"/>
      <c r="C6" s="114" t="n"/>
      <c r="D6" s="139" t="n"/>
      <c r="E6" s="115" t="n"/>
      <c r="F6" s="114" t="n"/>
      <c r="G6" s="114" t="n"/>
      <c r="H6" s="114" t="n"/>
      <c r="I6" s="114" t="n"/>
      <c r="J6" s="114" t="n"/>
      <c r="K6" s="114" t="n"/>
      <c r="L6" s="114" t="n"/>
      <c r="M6" s="114" t="n"/>
      <c r="N6" s="114" t="n"/>
      <c r="O6" s="114" t="n"/>
      <c r="P6" s="114" t="n"/>
      <c r="Q6" s="69" t="n"/>
    </row>
    <row r="7" ht="15" customHeight="1" s="67">
      <c r="A7" s="76" t="inlineStr">
        <is>
          <t>Période</t>
        </is>
      </c>
      <c r="B7" s="118" t="inlineStr">
        <is>
          <t>P4</t>
        </is>
      </c>
      <c r="C7" s="118" t="inlineStr">
        <is>
          <t>P4</t>
        </is>
      </c>
      <c r="D7" s="117" t="inlineStr">
        <is>
          <t>P4</t>
        </is>
      </c>
      <c r="E7" s="117" t="inlineStr">
        <is>
          <t>P5</t>
        </is>
      </c>
      <c r="F7" s="118" t="inlineStr">
        <is>
          <t>P5</t>
        </is>
      </c>
      <c r="G7" s="118" t="inlineStr">
        <is>
          <t>P5</t>
        </is>
      </c>
      <c r="H7" s="118" t="inlineStr">
        <is>
          <t>P5</t>
        </is>
      </c>
      <c r="I7" s="118" t="inlineStr">
        <is>
          <t>P5</t>
        </is>
      </c>
      <c r="J7" s="118" t="inlineStr">
        <is>
          <t>P5</t>
        </is>
      </c>
      <c r="K7" s="118" t="inlineStr">
        <is>
          <t>P5</t>
        </is>
      </c>
      <c r="L7" s="118" t="inlineStr">
        <is>
          <t>P5</t>
        </is>
      </c>
      <c r="M7" s="118" t="inlineStr">
        <is>
          <t>P5</t>
        </is>
      </c>
      <c r="N7" s="118" t="inlineStr">
        <is>
          <t>P5</t>
        </is>
      </c>
      <c r="O7" s="118" t="inlineStr">
        <is>
          <t>P5</t>
        </is>
      </c>
      <c r="P7" s="118" t="inlineStr">
        <is>
          <t>P5</t>
        </is>
      </c>
      <c r="Q7" s="69" t="n"/>
    </row>
    <row r="8" ht="15" customHeight="1" s="67">
      <c r="A8" s="69" t="n"/>
      <c r="B8" s="69" t="n"/>
      <c r="C8" s="69" t="n"/>
      <c r="D8" s="69" t="n"/>
      <c r="E8" s="69" t="n"/>
      <c r="F8" s="69" t="n"/>
      <c r="G8" s="69" t="n"/>
      <c r="H8" s="69" t="n"/>
      <c r="I8" s="69" t="n"/>
      <c r="J8" s="69" t="n"/>
      <c r="K8" s="69" t="n"/>
      <c r="L8" s="69" t="n"/>
      <c r="M8" s="69" t="n"/>
      <c r="N8" s="69" t="n"/>
      <c r="O8" s="69" t="n"/>
      <c r="P8" s="69" t="n"/>
      <c r="Q8" s="69" t="n"/>
    </row>
    <row r="9" ht="15" customHeight="1" s="67">
      <c r="A9" s="108" t="inlineStr">
        <is>
          <t>Jours 16-31</t>
        </is>
      </c>
      <c r="B9" s="69" t="n"/>
      <c r="C9" s="69" t="n"/>
      <c r="D9" s="69" t="n"/>
      <c r="E9" s="69" t="n"/>
      <c r="F9" s="69" t="n"/>
      <c r="G9" s="69" t="n"/>
      <c r="H9" s="69" t="n"/>
      <c r="I9" s="69" t="n"/>
      <c r="J9" s="69" t="n"/>
      <c r="K9" s="69" t="n"/>
      <c r="L9" s="69" t="n"/>
      <c r="M9" s="69" t="n"/>
      <c r="N9" s="69" t="n"/>
      <c r="O9" s="69" t="n"/>
      <c r="P9" s="69" t="n"/>
      <c r="Q9" s="69" t="n"/>
    </row>
    <row r="10" ht="18" customHeight="1" s="67">
      <c r="A10" s="76" t="inlineStr">
        <is>
          <t>Jour</t>
        </is>
      </c>
      <c r="B10" s="111" t="n">
        <v>16</v>
      </c>
      <c r="C10" s="111" t="n">
        <v>17</v>
      </c>
      <c r="D10" s="110" t="n">
        <v>18</v>
      </c>
      <c r="E10" s="110" t="n">
        <v>19</v>
      </c>
      <c r="F10" s="110" t="n">
        <v>20</v>
      </c>
      <c r="G10" s="110" t="n">
        <v>21</v>
      </c>
      <c r="H10" s="110" t="n">
        <v>22</v>
      </c>
      <c r="I10" s="111" t="n">
        <v>23</v>
      </c>
      <c r="J10" s="111" t="n">
        <v>24</v>
      </c>
      <c r="K10" s="109" t="n">
        <v>25</v>
      </c>
      <c r="L10" s="110" t="n">
        <v>26</v>
      </c>
      <c r="M10" s="110" t="n">
        <v>27</v>
      </c>
      <c r="N10" s="110" t="n">
        <v>28</v>
      </c>
      <c r="O10" s="119" t="n">
        <v>29</v>
      </c>
      <c r="P10" s="120" t="n">
        <v>30</v>
      </c>
      <c r="Q10" s="142" t="n">
        <v>31</v>
      </c>
    </row>
    <row r="11" ht="18" customHeight="1" s="67">
      <c r="A11" s="76" t="inlineStr">
        <is>
          <t>J.sem</t>
        </is>
      </c>
      <c r="B11" s="111" t="inlineStr">
        <is>
          <t>S</t>
        </is>
      </c>
      <c r="C11" s="111" t="inlineStr">
        <is>
          <t>D</t>
        </is>
      </c>
      <c r="D11" s="110" t="inlineStr">
        <is>
          <t>L</t>
        </is>
      </c>
      <c r="E11" s="110" t="inlineStr">
        <is>
          <t>M</t>
        </is>
      </c>
      <c r="F11" s="110" t="inlineStr">
        <is>
          <t>M</t>
        </is>
      </c>
      <c r="G11" s="110" t="inlineStr">
        <is>
          <t>J</t>
        </is>
      </c>
      <c r="H11" s="110" t="inlineStr">
        <is>
          <t>V</t>
        </is>
      </c>
      <c r="I11" s="111" t="inlineStr">
        <is>
          <t>S</t>
        </is>
      </c>
      <c r="J11" s="111" t="inlineStr">
        <is>
          <t>D</t>
        </is>
      </c>
      <c r="K11" s="113" t="inlineStr">
        <is>
          <t>L</t>
        </is>
      </c>
      <c r="L11" s="110" t="inlineStr">
        <is>
          <t>M</t>
        </is>
      </c>
      <c r="M11" s="110" t="inlineStr">
        <is>
          <t>M</t>
        </is>
      </c>
      <c r="N11" s="110" t="inlineStr">
        <is>
          <t>J</t>
        </is>
      </c>
      <c r="O11" s="119" t="inlineStr">
        <is>
          <t>V</t>
        </is>
      </c>
      <c r="P11" s="120" t="inlineStr">
        <is>
          <t>S</t>
        </is>
      </c>
      <c r="Q11" s="142" t="inlineStr">
        <is>
          <t>D</t>
        </is>
      </c>
    </row>
    <row r="12" ht="24.75" customHeight="1" s="67">
      <c r="A12" s="76" t="inlineStr">
        <is>
          <t>Code</t>
        </is>
      </c>
      <c r="B12" s="114" t="n"/>
      <c r="C12" s="114" t="n"/>
      <c r="D12" s="114" t="n"/>
      <c r="E12" s="114" t="n"/>
      <c r="F12" s="114" t="n"/>
      <c r="G12" s="114" t="n"/>
      <c r="H12" s="114" t="n"/>
      <c r="I12" s="114" t="n"/>
      <c r="J12" s="114" t="n"/>
      <c r="K12" s="114" t="n"/>
      <c r="L12" s="114" t="n"/>
      <c r="M12" s="114" t="n"/>
      <c r="N12" s="114" t="n"/>
      <c r="O12" s="114" t="n"/>
      <c r="P12" s="114" t="n"/>
      <c r="Q12" s="139" t="n"/>
    </row>
    <row r="13" ht="15" customHeight="1" s="67">
      <c r="A13" s="76" t="inlineStr">
        <is>
          <t>Période</t>
        </is>
      </c>
      <c r="B13" s="118" t="inlineStr">
        <is>
          <t>P5</t>
        </is>
      </c>
      <c r="C13" s="118" t="inlineStr">
        <is>
          <t>P5</t>
        </is>
      </c>
      <c r="D13" s="118" t="inlineStr">
        <is>
          <t>P5</t>
        </is>
      </c>
      <c r="E13" s="118" t="inlineStr">
        <is>
          <t>P5</t>
        </is>
      </c>
      <c r="F13" s="118" t="inlineStr">
        <is>
          <t>P5</t>
        </is>
      </c>
      <c r="G13" s="118" t="inlineStr">
        <is>
          <t>P5</t>
        </is>
      </c>
      <c r="H13" s="118" t="inlineStr">
        <is>
          <t>P5</t>
        </is>
      </c>
      <c r="I13" s="118" t="inlineStr">
        <is>
          <t>P5</t>
        </is>
      </c>
      <c r="J13" s="118" t="inlineStr">
        <is>
          <t>P5</t>
        </is>
      </c>
      <c r="K13" s="118" t="inlineStr">
        <is>
          <t>P5</t>
        </is>
      </c>
      <c r="L13" s="118" t="inlineStr">
        <is>
          <t>P5</t>
        </is>
      </c>
      <c r="M13" s="118" t="inlineStr">
        <is>
          <t>P5</t>
        </is>
      </c>
      <c r="N13" s="118" t="inlineStr">
        <is>
          <t>P5</t>
        </is>
      </c>
      <c r="O13" s="118" t="inlineStr">
        <is>
          <t>P5</t>
        </is>
      </c>
      <c r="P13" s="118" t="inlineStr">
        <is>
          <t>P5</t>
        </is>
      </c>
      <c r="Q13" s="143" t="inlineStr">
        <is>
          <t>P5</t>
        </is>
      </c>
    </row>
    <row r="16" ht="15" customHeight="1" s="67">
      <c r="A16" s="104" t="inlineStr">
        <is>
          <t>Prestations</t>
        </is>
      </c>
      <c r="B16" s="104" t="inlineStr">
        <is>
          <t>Jours</t>
        </is>
      </c>
      <c r="C16" s="104" t="inlineStr">
        <is>
          <t>H. Totales</t>
        </is>
      </c>
      <c r="D16" s="104" t="inlineStr">
        <is>
          <t>H. Nuit</t>
        </is>
      </c>
      <c r="E16" s="104" t="inlineStr">
        <is>
          <t>Couleur</t>
        </is>
      </c>
      <c r="F16" s="106" t="n"/>
      <c r="G16" s="106" t="n"/>
      <c r="H16" s="106" t="n"/>
      <c r="I16" s="106" t="n"/>
      <c r="J16" s="106" t="n"/>
    </row>
    <row r="17">
      <c r="A17" s="105" t="inlineStr">
        <is>
          <t>101</t>
        </is>
      </c>
      <c r="B17" s="105">
        <f>COUNTIF(B6:P6,"101")+COUNTIF(B12:R12,"101")</f>
        <v/>
      </c>
      <c r="C17" s="105">
        <f>B17*8</f>
        <v/>
      </c>
      <c r="D17" s="105">
        <f>B17*2</f>
        <v/>
      </c>
      <c r="E17" s="121" t="n"/>
      <c r="F17" s="106" t="n"/>
      <c r="G17" s="106" t="n"/>
      <c r="H17" s="106" t="n"/>
      <c r="I17" s="106" t="n"/>
      <c r="J17" s="106" t="n"/>
    </row>
    <row r="18" ht="15" customHeight="1" s="67">
      <c r="A18" s="105" t="inlineStr">
        <is>
          <t>102</t>
        </is>
      </c>
      <c r="B18" s="105">
        <f>COUNTIF(B6:P6,"102")+COUNTIF(B12:R12,"102")</f>
        <v/>
      </c>
      <c r="C18" s="105">
        <f>B18*8</f>
        <v/>
      </c>
      <c r="D18" s="105">
        <f>B18*2</f>
        <v/>
      </c>
      <c r="E18" s="122" t="n"/>
      <c r="F18" s="106" t="n"/>
      <c r="G18" s="106" t="n"/>
      <c r="H18" s="106" t="n"/>
      <c r="I18" s="106" t="n"/>
      <c r="J18" s="106" t="n"/>
    </row>
    <row r="19" ht="15" customHeight="1" s="67">
      <c r="A19" s="105" t="inlineStr">
        <is>
          <t>111</t>
        </is>
      </c>
      <c r="B19" s="105">
        <f>COUNTIF(B6:P6,"111")+COUNTIF(B12:R12,"111")</f>
        <v/>
      </c>
      <c r="C19" s="105">
        <f>B19*8</f>
        <v/>
      </c>
      <c r="D19" s="105">
        <f>B19*2</f>
        <v/>
      </c>
      <c r="E19" s="123" t="n"/>
      <c r="F19" s="106" t="n"/>
      <c r="G19" s="106" t="n"/>
      <c r="H19" s="106" t="n"/>
      <c r="I19" s="106" t="n"/>
      <c r="J19" s="106" t="n"/>
    </row>
    <row r="20" ht="15" customHeight="1" s="67">
      <c r="A20" s="105" t="inlineStr">
        <is>
          <t>112</t>
        </is>
      </c>
      <c r="B20" s="105">
        <f>COUNTIF(B6:P6,"112")+COUNTIF(B12:R12,"112")</f>
        <v/>
      </c>
      <c r="C20" s="105">
        <f>B20*8</f>
        <v/>
      </c>
      <c r="D20" s="105">
        <f>B20*2</f>
        <v/>
      </c>
      <c r="E20" s="124" t="n"/>
      <c r="F20" s="106" t="n"/>
      <c r="G20" s="106" t="n"/>
      <c r="H20" s="106" t="n"/>
      <c r="I20" s="106" t="n"/>
      <c r="J20" s="106" t="n"/>
    </row>
    <row r="21" ht="15" customHeight="1" s="67">
      <c r="A21" s="105" t="inlineStr">
        <is>
          <t>121</t>
        </is>
      </c>
      <c r="B21" s="105">
        <f>COUNTIF(B6:P6,"121")+COUNTIF(B12:R12,"121")</f>
        <v/>
      </c>
      <c r="C21" s="105">
        <f>B21*8</f>
        <v/>
      </c>
      <c r="D21" s="105">
        <f>B21*8</f>
        <v/>
      </c>
      <c r="E21" s="125" t="n"/>
      <c r="F21" s="106" t="n"/>
      <c r="G21" s="106" t="n"/>
      <c r="H21" s="106" t="n"/>
      <c r="I21" s="106" t="n"/>
      <c r="J21" s="106" t="n"/>
    </row>
    <row r="22" ht="15" customHeight="1" s="67">
      <c r="A22" s="105" t="inlineStr">
        <is>
          <t>6101</t>
        </is>
      </c>
      <c r="B22" s="105">
        <f>COUNTIF(B6:P6,"6101")+COUNTIF(B12:R12,"6101")</f>
        <v/>
      </c>
      <c r="C22" s="105">
        <f>B22*8</f>
        <v/>
      </c>
      <c r="D22" s="105">
        <f>B22*2</f>
        <v/>
      </c>
      <c r="E22" s="121" t="n"/>
      <c r="F22" s="106" t="n"/>
      <c r="G22" s="106" t="n"/>
      <c r="H22" s="106" t="n"/>
      <c r="I22" s="106" t="n"/>
      <c r="J22" s="106" t="n"/>
    </row>
    <row r="23" ht="15" customHeight="1" s="67">
      <c r="A23" s="105" t="inlineStr">
        <is>
          <t>6102</t>
        </is>
      </c>
      <c r="B23" s="105">
        <f>COUNTIF(B6:P6,"6102")+COUNTIF(B12:R12,"6102")</f>
        <v/>
      </c>
      <c r="C23" s="105">
        <f>B23*8</f>
        <v/>
      </c>
      <c r="D23" s="105">
        <f>B23*2</f>
        <v/>
      </c>
      <c r="E23" s="122" t="n"/>
      <c r="F23" s="106" t="n"/>
      <c r="G23" s="106" t="n"/>
      <c r="H23" s="106" t="n"/>
      <c r="I23" s="106" t="n"/>
      <c r="J23" s="106" t="n"/>
    </row>
    <row r="24" ht="15" customHeight="1" s="67">
      <c r="A24" s="105" t="inlineStr">
        <is>
          <t>6111</t>
        </is>
      </c>
      <c r="B24" s="105">
        <f>COUNTIF(B6:P6,"6111")+COUNTIF(B12:R12,"6111")</f>
        <v/>
      </c>
      <c r="C24" s="105">
        <f>B24*8</f>
        <v/>
      </c>
      <c r="D24" s="105">
        <f>B24*2</f>
        <v/>
      </c>
      <c r="E24" s="123" t="n"/>
      <c r="F24" s="106" t="n"/>
      <c r="G24" s="106" t="n"/>
      <c r="H24" s="106" t="n"/>
      <c r="I24" s="106" t="n"/>
      <c r="J24" s="106" t="n"/>
    </row>
    <row r="25" ht="15" customHeight="1" s="67">
      <c r="A25" s="105" t="inlineStr">
        <is>
          <t>6112</t>
        </is>
      </c>
      <c r="B25" s="105">
        <f>COUNTIF(B6:P6,"6112")+COUNTIF(B12:R12,"6112")</f>
        <v/>
      </c>
      <c r="C25" s="105">
        <f>B25*8</f>
        <v/>
      </c>
      <c r="D25" s="105">
        <f>B25*2</f>
        <v/>
      </c>
      <c r="E25" s="124" t="n"/>
      <c r="F25" s="106" t="n"/>
      <c r="G25" s="106" t="n"/>
      <c r="H25" s="106" t="n"/>
      <c r="I25" s="106" t="n"/>
      <c r="J25" s="106" t="n"/>
    </row>
    <row r="26" ht="15" customHeight="1" s="67">
      <c r="A26" s="105" t="inlineStr">
        <is>
          <t>6121</t>
        </is>
      </c>
      <c r="B26" s="105">
        <f>COUNTIF(B6:P6,"6121")+COUNTIF(B12:R12,"6121")</f>
        <v/>
      </c>
      <c r="C26" s="105">
        <f>B26*8</f>
        <v/>
      </c>
      <c r="D26" s="105">
        <f>B26*8</f>
        <v/>
      </c>
      <c r="E26" s="125" t="n"/>
      <c r="F26" s="106" t="n"/>
      <c r="G26" s="106" t="n"/>
      <c r="H26" s="106" t="n"/>
      <c r="I26" s="106" t="n"/>
      <c r="J26" s="106" t="n"/>
    </row>
    <row r="27" ht="15" customHeight="1" s="67">
      <c r="A27" s="105" t="inlineStr">
        <is>
          <t>7101</t>
        </is>
      </c>
      <c r="B27" s="105">
        <f>COUNTIF(B6:P6,"7101")+COUNTIF(B12:R12,"7101")</f>
        <v/>
      </c>
      <c r="C27" s="105">
        <f>B27*8</f>
        <v/>
      </c>
      <c r="D27" s="105">
        <f>B27*2</f>
        <v/>
      </c>
      <c r="E27" s="121" t="n"/>
      <c r="F27" s="106" t="n"/>
      <c r="G27" s="106" t="n"/>
      <c r="H27" s="106" t="n"/>
      <c r="I27" s="106" t="n"/>
      <c r="J27" s="106" t="n"/>
    </row>
    <row r="28" ht="15" customHeight="1" s="67">
      <c r="A28" s="105" t="inlineStr">
        <is>
          <t>7102</t>
        </is>
      </c>
      <c r="B28" s="105">
        <f>COUNTIF(B6:P6,"7102")+COUNTIF(B12:R12,"7102")</f>
        <v/>
      </c>
      <c r="C28" s="105">
        <f>B28*8</f>
        <v/>
      </c>
      <c r="D28" s="105">
        <f>B28*2</f>
        <v/>
      </c>
      <c r="E28" s="122" t="n"/>
      <c r="F28" s="106" t="n"/>
      <c r="G28" s="106" t="n"/>
      <c r="H28" s="106" t="n"/>
      <c r="I28" s="106" t="n"/>
      <c r="J28" s="106" t="n"/>
    </row>
    <row r="29" ht="15" customHeight="1" s="67">
      <c r="A29" s="105" t="inlineStr">
        <is>
          <t>7111</t>
        </is>
      </c>
      <c r="B29" s="105">
        <f>COUNTIF(B6:P6,"7111")+COUNTIF(B12:R12,"7111")</f>
        <v/>
      </c>
      <c r="C29" s="105">
        <f>B29*8</f>
        <v/>
      </c>
      <c r="D29" s="105">
        <f>B29*2</f>
        <v/>
      </c>
      <c r="E29" s="123" t="n"/>
      <c r="F29" s="106" t="n"/>
      <c r="G29" s="106" t="n"/>
      <c r="H29" s="106" t="n"/>
      <c r="I29" s="106" t="n"/>
      <c r="J29" s="106" t="n"/>
    </row>
    <row r="30" ht="15" customHeight="1" s="67">
      <c r="A30" s="105" t="inlineStr">
        <is>
          <t>7112</t>
        </is>
      </c>
      <c r="B30" s="105">
        <f>COUNTIF(B6:P6,"7112")+COUNTIF(B12:R12,"7112")</f>
        <v/>
      </c>
      <c r="C30" s="105">
        <f>B30*8</f>
        <v/>
      </c>
      <c r="D30" s="105">
        <f>B30*2</f>
        <v/>
      </c>
      <c r="E30" s="124" t="n"/>
      <c r="F30" s="106" t="n"/>
      <c r="G30" s="106" t="n"/>
      <c r="H30" s="106" t="n"/>
      <c r="I30" s="106" t="n"/>
      <c r="J30" s="106" t="n"/>
    </row>
    <row r="31" ht="15" customHeight="1" s="67">
      <c r="A31" s="105" t="inlineStr">
        <is>
          <t>7121</t>
        </is>
      </c>
      <c r="B31" s="105">
        <f>COUNTIF(B6:P6,"7121")+COUNTIF(B12:R12,"7121")</f>
        <v/>
      </c>
      <c r="C31" s="105">
        <f>B31*8</f>
        <v/>
      </c>
      <c r="D31" s="105">
        <f>B31*8</f>
        <v/>
      </c>
      <c r="E31" s="125" t="n"/>
      <c r="F31" s="106" t="n"/>
      <c r="G31" s="106" t="n"/>
      <c r="H31" s="106" t="n"/>
      <c r="I31" s="106" t="n"/>
      <c r="J31" s="106" t="n"/>
    </row>
    <row r="32" ht="15" customHeight="1" s="67">
      <c r="A32" s="105" t="inlineStr">
        <is>
          <t>X_AM</t>
        </is>
      </c>
      <c r="B32" s="105">
        <f>COUNTIF(B6:P6,"X_AM")+COUNTIF(B12:R12,"X_AM")</f>
        <v/>
      </c>
      <c r="C32" s="105">
        <f>B32*8</f>
        <v/>
      </c>
      <c r="D32" s="105">
        <f>B32*2</f>
        <v/>
      </c>
      <c r="E32" s="126" t="n"/>
      <c r="F32" s="106" t="n"/>
      <c r="G32" s="106" t="n"/>
      <c r="H32" s="106" t="n"/>
      <c r="I32" s="106" t="n"/>
      <c r="J32" s="106" t="n"/>
    </row>
    <row r="33" ht="15" customHeight="1" s="67">
      <c r="A33" s="105" t="inlineStr">
        <is>
          <t>X_PM</t>
        </is>
      </c>
      <c r="B33" s="105">
        <f>COUNTIF(B6:P6,"X_PM")+COUNTIF(B12:R12,"X_PM")</f>
        <v/>
      </c>
      <c r="C33" s="105">
        <f>B33*8</f>
        <v/>
      </c>
      <c r="D33" s="105">
        <f>B33*2</f>
        <v/>
      </c>
      <c r="E33" s="126" t="n"/>
      <c r="F33" s="106" t="n"/>
      <c r="G33" s="106" t="n"/>
      <c r="H33" s="106" t="n"/>
      <c r="I33" s="106" t="n"/>
      <c r="J33" s="106" t="n"/>
    </row>
    <row r="34" ht="15" customHeight="1" s="67">
      <c r="A34" s="105" t="inlineStr">
        <is>
          <t>X_10</t>
        </is>
      </c>
      <c r="B34" s="105">
        <f>COUNTIF(B6:P6,"X_10")+COUNTIF(B12:R12,"X_10")</f>
        <v/>
      </c>
      <c r="C34" s="105">
        <f>B34*8</f>
        <v/>
      </c>
      <c r="D34" s="105" t="n">
        <v>0</v>
      </c>
      <c r="E34" s="127" t="n"/>
      <c r="F34" s="106" t="n"/>
      <c r="G34" s="106" t="n"/>
      <c r="H34" s="106" t="n"/>
      <c r="I34" s="106" t="n"/>
      <c r="J34" s="106" t="n"/>
    </row>
    <row r="35" ht="15" customHeight="1" s="67">
      <c r="A35" s="105" t="inlineStr">
        <is>
          <t>AG</t>
        </is>
      </c>
      <c r="B35" s="105">
        <f>COUNTIF(B6:P6,"AG")+COUNTIF(B12:R12,"AG")</f>
        <v/>
      </c>
      <c r="C35" s="105">
        <f>B35*8</f>
        <v/>
      </c>
      <c r="D35" s="105" t="n">
        <v>0</v>
      </c>
      <c r="E35" s="128" t="n"/>
      <c r="F35" s="106" t="n"/>
      <c r="G35" s="106" t="n"/>
      <c r="H35" s="106" t="n"/>
      <c r="I35" s="106" t="n"/>
      <c r="J35" s="106" t="n"/>
    </row>
    <row r="36" ht="15" customHeight="1" s="67">
      <c r="A36" s="129" t="inlineStr">
        <is>
          <t>TOTAL</t>
        </is>
      </c>
      <c r="B36" s="129">
        <f>SUM(B17:B35)</f>
        <v/>
      </c>
      <c r="C36" s="129">
        <f>SUM(C17:C35)</f>
        <v/>
      </c>
      <c r="D36" s="129">
        <f>SUM(D17:D35)</f>
        <v/>
      </c>
      <c r="E36" s="129" t="n"/>
      <c r="F36" s="106" t="n"/>
      <c r="G36" s="106" t="n"/>
      <c r="H36" s="106" t="n"/>
      <c r="I36" s="106" t="n"/>
      <c r="J36" s="106" t="n"/>
    </row>
    <row r="37" ht="15" customHeight="1" s="67">
      <c r="A37" s="130" t="n"/>
      <c r="B37" s="130" t="n"/>
      <c r="C37" s="130" t="n"/>
      <c r="D37" s="130" t="n"/>
      <c r="E37" s="130" t="n"/>
      <c r="F37" s="106" t="n"/>
      <c r="G37" s="106" t="n"/>
      <c r="H37" s="106" t="n"/>
      <c r="I37" s="106" t="n"/>
      <c r="J37" s="106" t="n"/>
    </row>
    <row r="38" ht="15" customHeight="1" s="67">
      <c r="A38" s="104" t="inlineStr">
        <is>
          <t>REPOS</t>
        </is>
      </c>
      <c r="B38" s="104" t="inlineStr">
        <is>
          <t>Jours</t>
        </is>
      </c>
      <c r="C38" s="104" t="inlineStr">
        <is>
          <t>H. Totales</t>
        </is>
      </c>
      <c r="D38" s="104" t="inlineStr">
        <is>
          <t>H. Nuit</t>
        </is>
      </c>
      <c r="E38" s="104" t="inlineStr">
        <is>
          <t>Couleur</t>
        </is>
      </c>
      <c r="F38" s="106" t="n"/>
      <c r="G38" s="106" t="n"/>
      <c r="H38" s="106" t="n"/>
      <c r="I38" s="106" t="n"/>
      <c r="J38" s="106" t="n"/>
    </row>
    <row r="39" ht="15" customHeight="1" s="67">
      <c r="A39" s="105" t="inlineStr">
        <is>
          <t>CN</t>
        </is>
      </c>
      <c r="B39" s="105">
        <f>COUNTIF(B6:P6,"CN")+COUNTIF(B12:R12,"CN")</f>
        <v/>
      </c>
      <c r="C39" s="105">
        <f>B39*8</f>
        <v/>
      </c>
      <c r="D39" s="105" t="n">
        <v>0</v>
      </c>
      <c r="E39" s="131" t="n"/>
      <c r="F39" s="106" t="n"/>
      <c r="G39" s="106" t="n"/>
      <c r="H39" s="106" t="n"/>
      <c r="I39" s="106" t="n"/>
      <c r="J39" s="106" t="n"/>
    </row>
    <row r="40" ht="15" customHeight="1" s="67">
      <c r="A40" s="105" t="inlineStr">
        <is>
          <t>JC</t>
        </is>
      </c>
      <c r="B40" s="105">
        <f>COUNTIF(B6:P6,"JC")+COUNTIF(B12:R12,"JC")</f>
        <v/>
      </c>
      <c r="C40" s="105">
        <f>B40*8</f>
        <v/>
      </c>
      <c r="D40" s="105" t="n">
        <v>0</v>
      </c>
      <c r="E40" s="131" t="n"/>
      <c r="F40" s="106" t="n"/>
      <c r="G40" s="106" t="n"/>
      <c r="H40" s="106" t="n"/>
      <c r="I40" s="106" t="n"/>
      <c r="J40" s="106" t="n"/>
    </row>
    <row r="41" ht="15" customHeight="1" s="67">
      <c r="A41" s="105" t="inlineStr">
        <is>
          <t>RH</t>
        </is>
      </c>
      <c r="B41" s="105">
        <f>COUNTIF(B6:P6,"RH")+COUNTIF(B12:R12,"RH")</f>
        <v/>
      </c>
      <c r="C41" s="105" t="n">
        <v>0</v>
      </c>
      <c r="D41" s="105" t="n">
        <v>0</v>
      </c>
      <c r="E41" s="132" t="n"/>
      <c r="F41" s="106" t="n"/>
      <c r="G41" s="106" t="n"/>
      <c r="H41" s="106" t="n"/>
      <c r="I41" s="106" t="n"/>
      <c r="J41" s="106" t="n"/>
    </row>
    <row r="42" ht="15" customHeight="1" s="67">
      <c r="A42" s="105" t="inlineStr">
        <is>
          <t>CH</t>
        </is>
      </c>
      <c r="B42" s="105">
        <f>COUNTIF(B6:P6,"CH")+COUNTIF(B12:R12,"CH")</f>
        <v/>
      </c>
      <c r="C42" s="105" t="n">
        <v>0</v>
      </c>
      <c r="D42" s="105" t="n">
        <v>0</v>
      </c>
      <c r="E42" s="133" t="n"/>
      <c r="F42" s="106" t="n"/>
      <c r="G42" s="106" t="n"/>
      <c r="H42" s="106" t="n"/>
      <c r="I42" s="106" t="n"/>
      <c r="J42" s="106" t="n"/>
    </row>
    <row r="43" ht="15" customHeight="1" s="67">
      <c r="A43" s="105" t="inlineStr">
        <is>
          <t>RR</t>
        </is>
      </c>
      <c r="B43" s="105">
        <f>COUNTIF(B6:P6,"RR")+COUNTIF(B12:R12,"RR")</f>
        <v/>
      </c>
      <c r="C43" s="105">
        <f>B43*8</f>
        <v/>
      </c>
      <c r="D43" s="105" t="n">
        <v>0</v>
      </c>
      <c r="E43" s="134" t="n"/>
      <c r="F43" s="106" t="n"/>
      <c r="G43" s="106" t="n"/>
      <c r="H43" s="106" t="n"/>
      <c r="I43" s="106" t="n"/>
      <c r="J43" s="106" t="n"/>
    </row>
    <row r="44">
      <c r="A44" s="105" t="inlineStr">
        <is>
          <t>CV</t>
        </is>
      </c>
      <c r="B44" s="105">
        <f>COUNTIF(B6:P6,"CV")+COUNTIF(B12:R12,"CV")</f>
        <v/>
      </c>
      <c r="C44" s="105">
        <f>B44*8</f>
        <v/>
      </c>
      <c r="D44" s="105" t="n">
        <v>0</v>
      </c>
      <c r="E44" s="135" t="n"/>
      <c r="F44" s="106" t="n"/>
      <c r="G44" s="106" t="n"/>
      <c r="H44" s="106" t="n"/>
      <c r="I44" s="106" t="n"/>
      <c r="J44" s="106" t="n"/>
    </row>
    <row r="45" ht="15" customHeight="1" s="67">
      <c r="A45" s="105" t="inlineStr">
        <is>
          <t>ZM</t>
        </is>
      </c>
      <c r="B45" s="105">
        <f>COUNTIF(B6:P6,"ZM")+COUNTIF(B12:R12,"ZM")</f>
        <v/>
      </c>
      <c r="C45" s="105">
        <f>B45*8</f>
        <v/>
      </c>
      <c r="D45" s="105" t="n">
        <v>0</v>
      </c>
      <c r="E45" s="136" t="n"/>
      <c r="F45" s="106" t="n"/>
      <c r="G45" s="106" t="n"/>
      <c r="H45" s="106" t="n"/>
      <c r="I45" s="106" t="n"/>
      <c r="J45" s="106" t="n"/>
    </row>
    <row r="46">
      <c r="A46" s="129" t="inlineStr">
        <is>
          <t>TOTAL</t>
        </is>
      </c>
      <c r="B46" s="129">
        <f>SUM(B39:B45)</f>
        <v/>
      </c>
      <c r="C46" s="129">
        <f>SUM(C39:C45)</f>
        <v/>
      </c>
      <c r="D46" s="129">
        <f>SUM(D39:D45)</f>
        <v/>
      </c>
      <c r="E46" s="129" t="n"/>
      <c r="F46" s="106" t="n"/>
      <c r="G46" s="106" t="n"/>
      <c r="H46" s="106" t="n"/>
      <c r="I46" s="106" t="n"/>
      <c r="J46" s="106" t="n"/>
    </row>
    <row r="47" ht="15" customHeight="1" s="67">
      <c r="A47" s="130" t="n"/>
      <c r="B47" s="130" t="n"/>
      <c r="C47" s="130" t="n"/>
      <c r="D47" s="130" t="n"/>
      <c r="E47" s="106" t="n"/>
      <c r="F47" s="106" t="n"/>
      <c r="G47" s="106" t="n"/>
      <c r="H47" s="106" t="n"/>
      <c r="I47" s="106" t="n"/>
      <c r="J47" s="106" t="n"/>
    </row>
    <row r="48" ht="15" customHeight="1" s="67">
      <c r="A48" s="137" t="inlineStr">
        <is>
          <t>Total Heures</t>
        </is>
      </c>
      <c r="B48" s="130" t="n"/>
      <c r="C48" s="137">
        <f>C36+C46</f>
        <v/>
      </c>
      <c r="D48" s="130" t="n"/>
      <c r="E48" s="106" t="n"/>
      <c r="F48" s="106" t="n"/>
      <c r="G48" s="106" t="n"/>
      <c r="H48" s="106" t="n"/>
      <c r="I48" s="106" t="n"/>
      <c r="J48" s="106" t="n"/>
    </row>
    <row r="49" ht="15" customHeight="1" s="67">
      <c r="A49" s="130" t="n"/>
      <c r="B49" s="130" t="n"/>
      <c r="C49" s="130" t="n"/>
      <c r="D49" s="130" t="n"/>
      <c r="E49" s="106" t="n"/>
      <c r="F49" s="106" t="n"/>
      <c r="G49" s="106" t="n"/>
      <c r="H49" s="106" t="n"/>
      <c r="I49" s="106" t="n"/>
      <c r="J49" s="106" t="n"/>
    </row>
    <row r="50" ht="15" customHeight="1" s="67">
      <c r="A50" s="130" t="n"/>
      <c r="B50" s="130" t="n"/>
      <c r="C50" s="130" t="n"/>
      <c r="D50" s="130" t="n"/>
      <c r="E50" s="106" t="n"/>
      <c r="F50" s="106" t="n"/>
      <c r="G50" s="106" t="n"/>
      <c r="H50" s="106" t="n"/>
      <c r="I50" s="106" t="n"/>
      <c r="J50" s="106" t="n"/>
    </row>
    <row r="51" ht="15" customHeight="1" s="67">
      <c r="A51" s="130" t="n"/>
      <c r="B51" s="130" t="n"/>
      <c r="C51" s="130" t="n"/>
      <c r="D51" s="130" t="n"/>
      <c r="E51" s="106" t="n"/>
      <c r="F51" s="106" t="n"/>
      <c r="G51" s="106" t="n"/>
      <c r="H51" s="106" t="n"/>
      <c r="I51" s="106" t="n"/>
      <c r="J51" s="106" t="n"/>
    </row>
    <row r="52">
      <c r="A52" s="138" t="inlineStr">
        <is>
          <t>CONTRÔLES PAR PÉRIODE - MAI</t>
        </is>
      </c>
      <c r="B52" s="106" t="n"/>
      <c r="C52" s="106" t="n"/>
      <c r="D52" s="106" t="n"/>
      <c r="E52" s="106" t="n"/>
      <c r="F52" s="106" t="n"/>
      <c r="G52" s="106" t="n"/>
      <c r="H52" s="106" t="n"/>
      <c r="I52" s="106" t="n"/>
      <c r="J52" s="106" t="n"/>
    </row>
    <row r="53" ht="15" customHeight="1" s="67">
      <c r="A53" s="130" t="n"/>
      <c r="B53" s="106" t="n"/>
      <c r="C53" s="106" t="n"/>
      <c r="D53" s="106" t="n"/>
      <c r="E53" s="106" t="n"/>
      <c r="F53" s="106" t="n"/>
      <c r="G53" s="106" t="n"/>
      <c r="H53" s="106" t="n"/>
      <c r="I53" s="106" t="n"/>
      <c r="J53" s="106" t="n"/>
    </row>
    <row r="54">
      <c r="A54" s="104" t="inlineStr">
        <is>
          <t>Période</t>
        </is>
      </c>
      <c r="B54" s="104" t="inlineStr">
        <is>
          <t>Heures</t>
        </is>
      </c>
      <c r="C54" s="104" t="inlineStr">
        <is>
          <t>CH</t>
        </is>
      </c>
      <c r="D54" s="104" t="inlineStr">
        <is>
          <t>RH</t>
        </is>
      </c>
      <c r="E54" s="104" t="inlineStr">
        <is>
          <t>CV</t>
        </is>
      </c>
      <c r="F54" s="104" t="inlineStr">
        <is>
          <t>RR</t>
        </is>
      </c>
      <c r="G54" s="104" t="inlineStr">
        <is>
          <t>Férié Trav.</t>
        </is>
      </c>
      <c r="H54" s="104" t="inlineStr">
        <is>
          <t>Statut</t>
        </is>
      </c>
      <c r="I54" s="106" t="n"/>
      <c r="J54" s="106" t="n"/>
    </row>
    <row r="55" ht="15" customHeight="1" s="67">
      <c r="A55" s="105" t="inlineStr">
        <is>
          <t>P4</t>
        </is>
      </c>
      <c r="B55" s="105">
        <f>(COUNTIF('Avril'!G6:P6,"101") + COUNTIF('Avril'!B12:P12,"101") + COUNTIF('Mai'!B6:D6,"101") + COUNTIF('Avril'!G6:P6,"102") + COUNTIF('Avril'!B12:P12,"102") + COUNTIF('Mai'!B6:D6,"102") + COUNTIF('Avril'!G6:P6,"111") + COUNTIF('Avril'!B12:P12,"111") + COUNTIF('Mai'!B6:D6,"111") + COUNTIF('Avril'!G6:P6,"112") + COUNTIF('Avril'!B12:P12,"112") + COUNTIF('Mai'!B6:D6,"112") + COUNTIF('Avril'!G6:P6,"121") + COUNTIF('Avril'!B12:P12,"121") + COUNTIF('Mai'!B6:D6,"121") + COUNTIF('Avril'!G6:P6,"6101") + COUNTIF('Avril'!B12:P12,"6101") + COUNTIF('Mai'!B6:D6,"6101") + COUNTIF('Avril'!G6:P6,"6102") + COUNTIF('Avril'!B12:P12,"6102") + COUNTIF('Mai'!B6:D6,"6102") + COUNTIF('Avril'!G6:P6,"6111") + COUNTIF('Avril'!B12:P12,"6111") + COUNTIF('Mai'!B6:D6,"6111") + COUNTIF('Avril'!G6:P6,"6112") + COUNTIF('Avril'!B12:P12,"6112") + COUNTIF('Mai'!B6:D6,"6112") + COUNTIF('Avril'!G6:P6,"6121") + COUNTIF('Avril'!B12:P12,"6121") + COUNTIF('Mai'!B6:D6,"6121") + COUNTIF('Avril'!G6:P6,"7101") + COUNTIF('Avril'!B12:P12,"7101") + COUNTIF('Mai'!B6:D6,"7101") + COUNTIF('Avril'!G6:P6,"7102") + COUNTIF('Avril'!B12:P12,"7102") + COUNTIF('Mai'!B6:D6,"7102") + COUNTIF('Avril'!G6:P6,"7111") + COUNTIF('Avril'!B12:P12,"7111") + COUNTIF('Mai'!B6:D6,"7111") + COUNTIF('Avril'!G6:P6,"7112") + COUNTIF('Avril'!B12:P12,"7112") + COUNTIF('Mai'!B6:D6,"7112") + COUNTIF('Avril'!G6:P6,"7121") + COUNTIF('Avril'!B12:P12,"7121") + COUNTIF('Mai'!B6:D6,"7121") + COUNTIF('Avril'!G6:P6,"X_AM") + COUNTIF('Avril'!B12:P12,"X_AM") + COUNTIF('Mai'!B6:D6,"X_AM") + COUNTIF('Avril'!G6:P6,"X_PM") + COUNTIF('Avril'!B12:P12,"X_PM") + COUNTIF('Mai'!B6:D6,"X_PM") + COUNTIF('Avril'!G6:P6,"X_10") + COUNTIF('Avril'!B12:P12,"X_10") + COUNTIF('Mai'!B6:D6,"X_10") + COUNTIF('Avril'!G6:P6,"AG") + COUNTIF('Avril'!B12:P12,"AG") + COUNTIF('Mai'!B6:D6,"AG") + COUNTIF('Avril'!G6:P6,"CN") + COUNTIF('Avril'!B12:P12,"CN") + COUNTIF('Mai'!B6:D6,"CN") + COUNTIF('Avril'!G6:P6,"JC") + COUNTIF('Avril'!B12:P12,"JC") + COUNTIF('Mai'!B6:D6,"JC") + COUNTIF('Avril'!G6:P6,"RR") + COUNTIF('Avril'!B12:P12,"RR") + COUNTIF('Mai'!B6:D6,"RR") + COUNTIF('Avril'!G6:P6,"ZM") + COUNTIF('Avril'!B12:P12,"ZM") + COUNTIF('Mai'!B6:D6,"ZM") + COUNTIF('Avril'!G6:P6,"CV") + COUNTIF('Avril'!B12:P12,"CV") + COUNTIF('Mai'!B6:D6,"CV"))*8</f>
        <v/>
      </c>
      <c r="C55" s="105">
        <f>COUNTIF('Avril'!G6:P6,"CH")+COUNTIF('Avril'!B12:P12,"CH")+COUNTIF('Mai'!B6:D6,"CH")</f>
        <v/>
      </c>
      <c r="D55" s="105">
        <f>COUNTIF('Avril'!G6:P6,"RH")+COUNTIF('Avril'!B12:P12,"RH")+COUNTIF('Mai'!B6:D6,"RH")</f>
        <v/>
      </c>
      <c r="E55" s="105">
        <f>COUNTIF('Avril'!G6:P6,"CV")+COUNTIF('Avril'!B12:P12,"CV")+COUNTIF('Mai'!B6:D6,"CV")</f>
        <v/>
      </c>
      <c r="F55" s="105">
        <f>COUNTIF('Avril'!G6:P6,"RR")+COUNTIF('Avril'!B12:P12,"RR")+COUNTIF('Mai'!B6:D6,"RR")</f>
        <v/>
      </c>
      <c r="G55" s="105">
        <f>SUM(COUNTIF('Avril'!G6,{7101,7102,7111,7112,7121}))+SUM(COUNTIF('Mai'!B6,{7101,7102,7111,7112,7121}))</f>
        <v/>
      </c>
      <c r="H55" s="105">
        <f>IF(B55&gt;160,"⚠ &gt;160h",IF(C55&lt;&gt;4,"⚠ CH≠4",IF(D55&lt;&gt;4,"⚠ RH≠4",IF(E55&lt;&gt;1,"⚠ CV≠1",IF(AND(G55&gt;0,F55=0),"⚠ RR manquant","✓ OK")))))</f>
        <v/>
      </c>
      <c r="I55" s="106" t="n"/>
      <c r="J55" s="106" t="n"/>
    </row>
    <row r="56" ht="15" customHeight="1" s="67">
      <c r="A56" s="105" t="inlineStr">
        <is>
          <t>P5</t>
        </is>
      </c>
      <c r="B56" s="105">
        <f>(COUNTIF('Mai'!E6:P6,"101") + COUNTIF('Mai'!B12:Q12,"101") + COUNTIF('Mai'!E6:P6,"102") + COUNTIF('Mai'!B12:Q12,"102") + COUNTIF('Mai'!E6:P6,"111") + COUNTIF('Mai'!B12:Q12,"111") + COUNTIF('Mai'!E6:P6,"112") + COUNTIF('Mai'!B12:Q12,"112") + COUNTIF('Mai'!E6:P6,"121") + COUNTIF('Mai'!B12:Q12,"121") + COUNTIF('Mai'!E6:P6,"6101") + COUNTIF('Mai'!B12:Q12,"6101") + COUNTIF('Mai'!E6:P6,"6102") + COUNTIF('Mai'!B12:Q12,"6102") + COUNTIF('Mai'!E6:P6,"6111") + COUNTIF('Mai'!B12:Q12,"6111") + COUNTIF('Mai'!E6:P6,"6112") + COUNTIF('Mai'!B12:Q12,"6112") + COUNTIF('Mai'!E6:P6,"6121") + COUNTIF('Mai'!B12:Q12,"6121") + COUNTIF('Mai'!E6:P6,"7101") + COUNTIF('Mai'!B12:Q12,"7101") + COUNTIF('Mai'!E6:P6,"7102") + COUNTIF('Mai'!B12:Q12,"7102") + COUNTIF('Mai'!E6:P6,"7111") + COUNTIF('Mai'!B12:Q12,"7111") + COUNTIF('Mai'!E6:P6,"7112") + COUNTIF('Mai'!B12:Q12,"7112") + COUNTIF('Mai'!E6:P6,"7121") + COUNTIF('Mai'!B12:Q12,"7121") + COUNTIF('Mai'!E6:P6,"X_AM") + COUNTIF('Mai'!B12:Q12,"X_AM") + COUNTIF('Mai'!E6:P6,"X_PM") + COUNTIF('Mai'!B12:Q12,"X_PM") + COUNTIF('Mai'!E6:P6,"X_10") + COUNTIF('Mai'!B12:Q12,"X_10") + COUNTIF('Mai'!E6:P6,"AG") + COUNTIF('Mai'!B12:Q12,"AG") + COUNTIF('Mai'!E6:P6,"CN") + COUNTIF('Mai'!B12:Q12,"CN") + COUNTIF('Mai'!E6:P6,"JC") + COUNTIF('Mai'!B12:Q12,"JC") + COUNTIF('Mai'!E6:P6,"RR") + COUNTIF('Mai'!B12:Q12,"RR") + COUNTIF('Mai'!E6:P6,"ZM") + COUNTIF('Mai'!B12:Q12,"ZM") + COUNTIF('Mai'!E6:P6,"CV") + COUNTIF('Mai'!B12:Q12,"CV"))*8</f>
        <v/>
      </c>
      <c r="C56" s="105">
        <f>COUNTIF('Mai'!E6:P6,"CH")+COUNTIF('Mai'!B12:Q12,"CH")</f>
        <v/>
      </c>
      <c r="D56" s="105">
        <f>COUNTIF('Mai'!E6:P6,"RH")+COUNTIF('Mai'!B12:Q12,"RH")</f>
        <v/>
      </c>
      <c r="E56" s="105">
        <f>COUNTIF('Mai'!E6:P6,"CV")+COUNTIF('Mai'!B12:Q12,"CV")</f>
        <v/>
      </c>
      <c r="F56" s="105">
        <f>COUNTIF('Mai'!E6:P6,"RR")+COUNTIF('Mai'!B12:Q12,"RR")</f>
        <v/>
      </c>
      <c r="G56" s="105">
        <f>SUM(COUNTIF('Mai'!O6,{7101,7102,7111,7112,7121}))+SUM(COUNTIF('Mai'!K12,{7101,7102,7111,7112,7121}))</f>
        <v/>
      </c>
      <c r="H56" s="105">
        <f>IF(B56&gt;160,"⚠ &gt;160h",IF(C56&lt;&gt;4,"⚠ CH≠4",IF(D56&lt;&gt;4,"⚠ RH≠4",IF(E56&lt;&gt;1,"⚠ CV≠1",IF(AND(G56&gt;0,F56=0),"⚠ RR manquant","✓ OK")))))</f>
        <v/>
      </c>
      <c r="I56" s="106" t="n"/>
      <c r="J56" s="106" t="n"/>
    </row>
    <row r="57" ht="15" customHeight="1" s="67">
      <c r="A57" s="130" t="n"/>
      <c r="B57" s="130" t="n"/>
      <c r="C57" s="130" t="n"/>
      <c r="D57" s="130" t="n"/>
      <c r="E57" s="106" t="n"/>
      <c r="F57" s="106" t="n"/>
      <c r="G57" s="106" t="n"/>
      <c r="H57" s="106" t="n"/>
      <c r="I57" s="106" t="n"/>
      <c r="J57" s="106" t="n"/>
    </row>
    <row r="58">
      <c r="A58" s="106" t="n"/>
      <c r="B58" s="106" t="n"/>
      <c r="C58" s="106" t="n"/>
      <c r="D58" s="106" t="n"/>
      <c r="E58" s="106" t="n"/>
      <c r="F58" s="106" t="n"/>
      <c r="G58" s="106" t="n"/>
      <c r="H58" s="106" t="n"/>
      <c r="I58" s="106" t="n"/>
      <c r="J58" s="106" t="n"/>
    </row>
    <row r="59">
      <c r="A59" s="106" t="n"/>
      <c r="B59" s="106" t="n"/>
      <c r="C59" s="106" t="n"/>
      <c r="D59" s="106" t="n"/>
      <c r="E59" s="106" t="n"/>
      <c r="F59" s="106" t="n"/>
      <c r="G59" s="106" t="n"/>
      <c r="H59" s="106" t="n"/>
      <c r="I59" s="106" t="n"/>
      <c r="J59" s="106" t="n"/>
    </row>
    <row r="60">
      <c r="A60" s="106" t="n"/>
      <c r="B60" s="106" t="n"/>
      <c r="C60" s="106" t="n"/>
      <c r="D60" s="106" t="n"/>
      <c r="E60" s="106" t="n"/>
      <c r="F60" s="106" t="n"/>
      <c r="G60" s="106" t="n"/>
      <c r="H60" s="106" t="n"/>
      <c r="I60" s="106" t="n"/>
      <c r="J60" s="106" t="n"/>
    </row>
    <row r="61">
      <c r="A61" s="106" t="n"/>
      <c r="B61" s="106" t="n"/>
      <c r="C61" s="106" t="n"/>
      <c r="D61" s="106" t="n"/>
      <c r="E61" s="106" t="n"/>
      <c r="F61" s="106" t="n"/>
      <c r="G61" s="106" t="n"/>
      <c r="H61" s="106" t="n"/>
      <c r="I61" s="106" t="n"/>
      <c r="J61" s="106" t="n"/>
    </row>
    <row r="62">
      <c r="A62" s="106" t="n"/>
      <c r="B62" s="106" t="n"/>
      <c r="C62" s="106" t="n"/>
      <c r="D62" s="106" t="n"/>
      <c r="E62" s="106" t="n"/>
      <c r="F62" s="106" t="n"/>
      <c r="G62" s="106" t="n"/>
      <c r="H62" s="106" t="n"/>
      <c r="I62" s="106" t="n"/>
      <c r="J62" s="106" t="n"/>
    </row>
    <row r="63">
      <c r="A63" s="106" t="n"/>
      <c r="B63" s="106" t="n"/>
      <c r="C63" s="106" t="n"/>
      <c r="D63" s="106" t="n"/>
      <c r="E63" s="106" t="n"/>
      <c r="F63" s="106" t="n"/>
      <c r="G63" s="106" t="n"/>
      <c r="H63" s="106" t="n"/>
      <c r="I63" s="106" t="n"/>
      <c r="J63" s="106" t="n"/>
    </row>
    <row r="64">
      <c r="A64" s="106" t="n"/>
      <c r="B64" s="106" t="n"/>
      <c r="C64" s="106" t="n"/>
      <c r="D64" s="106" t="n"/>
      <c r="E64" s="106" t="n"/>
      <c r="F64" s="106" t="n"/>
      <c r="G64" s="106" t="n"/>
      <c r="H64" s="106" t="n"/>
      <c r="I64" s="106" t="n"/>
      <c r="J64" s="106" t="n"/>
    </row>
    <row r="65">
      <c r="A65" s="106" t="n"/>
      <c r="B65" s="106" t="n"/>
      <c r="C65" s="106" t="n"/>
      <c r="D65" s="106" t="n"/>
      <c r="E65" s="106" t="n"/>
      <c r="F65" s="106" t="n"/>
      <c r="G65" s="106" t="n"/>
      <c r="H65" s="106" t="n"/>
      <c r="I65" s="106" t="n"/>
      <c r="J65" s="106" t="n"/>
    </row>
    <row r="66">
      <c r="A66" s="106" t="n"/>
      <c r="B66" s="106" t="n"/>
      <c r="C66" s="106" t="n"/>
      <c r="D66" s="106" t="n"/>
      <c r="E66" s="106" t="n"/>
      <c r="F66" s="106" t="n"/>
      <c r="G66" s="106" t="n"/>
      <c r="H66" s="106" t="n"/>
      <c r="I66" s="106" t="n"/>
      <c r="J66" s="106" t="n"/>
    </row>
    <row r="67">
      <c r="A67" s="106" t="n"/>
      <c r="B67" s="106" t="n"/>
      <c r="C67" s="106" t="n"/>
      <c r="D67" s="106" t="n"/>
      <c r="E67" s="106" t="n"/>
      <c r="F67" s="106" t="n"/>
      <c r="G67" s="106" t="n"/>
      <c r="H67" s="106" t="n"/>
      <c r="I67" s="106" t="n"/>
      <c r="J67" s="106" t="n"/>
    </row>
    <row r="68">
      <c r="A68" s="106" t="n"/>
      <c r="B68" s="106" t="n"/>
      <c r="C68" s="106" t="n"/>
      <c r="D68" s="106" t="n"/>
      <c r="E68" s="106" t="n"/>
      <c r="F68" s="106" t="n"/>
      <c r="G68" s="106" t="n"/>
      <c r="H68" s="106" t="n"/>
      <c r="I68" s="106" t="n"/>
      <c r="J68" s="106" t="n"/>
    </row>
    <row r="69">
      <c r="A69" s="106" t="n"/>
      <c r="B69" s="106" t="n"/>
      <c r="C69" s="106" t="n"/>
      <c r="D69" s="106" t="n"/>
      <c r="E69" s="106" t="n"/>
      <c r="F69" s="106" t="n"/>
      <c r="G69" s="106" t="n"/>
      <c r="H69" s="106" t="n"/>
      <c r="I69" s="106" t="n"/>
      <c r="J69" s="106" t="n"/>
    </row>
    <row r="70">
      <c r="A70" s="106" t="n"/>
      <c r="B70" s="106" t="n"/>
      <c r="C70" s="106" t="n"/>
      <c r="D70" s="106" t="n"/>
      <c r="E70" s="106" t="n"/>
      <c r="F70" s="106" t="n"/>
      <c r="G70" s="106" t="n"/>
      <c r="H70" s="106" t="n"/>
      <c r="I70" s="106" t="n"/>
      <c r="J70" s="106" t="n"/>
    </row>
    <row r="71">
      <c r="A71" s="106" t="n"/>
      <c r="B71" s="106" t="n"/>
      <c r="C71" s="106" t="n"/>
      <c r="D71" s="106" t="n"/>
      <c r="E71" s="106" t="n"/>
      <c r="F71" s="106" t="n"/>
      <c r="G71" s="106" t="n"/>
      <c r="H71" s="106" t="n"/>
      <c r="I71" s="106" t="n"/>
      <c r="J71" s="106" t="n"/>
    </row>
    <row r="72">
      <c r="A72" s="106" t="n"/>
      <c r="B72" s="106" t="n"/>
      <c r="C72" s="106" t="n"/>
      <c r="D72" s="106" t="n"/>
      <c r="E72" s="106" t="n"/>
      <c r="F72" s="106" t="n"/>
      <c r="G72" s="106" t="n"/>
      <c r="H72" s="106" t="n"/>
      <c r="I72" s="106" t="n"/>
      <c r="J72" s="106" t="n"/>
    </row>
    <row r="73">
      <c r="A73" s="106" t="n"/>
      <c r="B73" s="106" t="n"/>
      <c r="C73" s="106" t="n"/>
      <c r="D73" s="106" t="n"/>
      <c r="E73" s="106" t="n"/>
      <c r="F73" s="106" t="n"/>
      <c r="G73" s="106" t="n"/>
      <c r="H73" s="106" t="n"/>
      <c r="I73" s="106" t="n"/>
      <c r="J73" s="106" t="n"/>
    </row>
    <row r="74">
      <c r="A74" s="106" t="n"/>
      <c r="B74" s="106" t="n"/>
      <c r="C74" s="106" t="n"/>
      <c r="D74" s="106" t="n"/>
      <c r="E74" s="106" t="n"/>
      <c r="F74" s="106" t="n"/>
      <c r="G74" s="106" t="n"/>
      <c r="H74" s="106" t="n"/>
      <c r="I74" s="106" t="n"/>
      <c r="J74" s="106" t="n"/>
    </row>
    <row r="75">
      <c r="A75" s="106" t="n"/>
      <c r="B75" s="106" t="n"/>
      <c r="C75" s="106" t="n"/>
      <c r="D75" s="106" t="n"/>
      <c r="E75" s="106" t="n"/>
      <c r="F75" s="106" t="n"/>
      <c r="G75" s="106" t="n"/>
      <c r="H75" s="106" t="n"/>
      <c r="I75" s="106" t="n"/>
      <c r="J75" s="106" t="n"/>
    </row>
    <row r="76">
      <c r="A76" s="106" t="n"/>
      <c r="B76" s="106" t="n"/>
      <c r="C76" s="106" t="n"/>
      <c r="D76" s="106" t="n"/>
      <c r="E76" s="106" t="n"/>
      <c r="F76" s="106" t="n"/>
      <c r="G76" s="106" t="n"/>
      <c r="H76" s="106" t="n"/>
      <c r="I76" s="106" t="n"/>
      <c r="J76" s="106" t="n"/>
    </row>
    <row r="77">
      <c r="A77" s="106" t="n"/>
      <c r="B77" s="106" t="n"/>
      <c r="C77" s="106" t="n"/>
      <c r="D77" s="106" t="n"/>
      <c r="E77" s="106" t="n"/>
      <c r="F77" s="106" t="n"/>
      <c r="G77" s="106" t="n"/>
      <c r="H77" s="106" t="n"/>
      <c r="I77" s="106" t="n"/>
      <c r="J77" s="106" t="n"/>
    </row>
    <row r="78">
      <c r="A78" s="106" t="n"/>
      <c r="B78" s="106" t="n"/>
      <c r="C78" s="106" t="n"/>
      <c r="D78" s="106" t="n"/>
      <c r="E78" s="106" t="n"/>
      <c r="F78" s="106" t="n"/>
      <c r="G78" s="106" t="n"/>
      <c r="H78" s="106" t="n"/>
      <c r="I78" s="106" t="n"/>
      <c r="J78" s="106" t="n"/>
    </row>
    <row r="79">
      <c r="A79" s="106" t="n"/>
      <c r="B79" s="106" t="n"/>
      <c r="C79" s="106" t="n"/>
      <c r="D79" s="106" t="n"/>
      <c r="E79" s="106" t="n"/>
      <c r="F79" s="106" t="n"/>
      <c r="G79" s="106" t="n"/>
      <c r="H79" s="106" t="n"/>
      <c r="I79" s="106" t="n"/>
      <c r="J79" s="106" t="n"/>
    </row>
    <row r="80">
      <c r="A80" s="106" t="n"/>
      <c r="B80" s="106" t="n"/>
      <c r="C80" s="106" t="n"/>
      <c r="D80" s="106" t="n"/>
      <c r="E80" s="106" t="n"/>
      <c r="F80" s="106" t="n"/>
      <c r="G80" s="106" t="n"/>
      <c r="H80" s="106" t="n"/>
      <c r="I80" s="106" t="n"/>
      <c r="J80" s="106" t="n"/>
    </row>
    <row r="81">
      <c r="A81" s="106" t="n"/>
      <c r="B81" s="106" t="n"/>
      <c r="C81" s="106" t="n"/>
      <c r="D81" s="106" t="n"/>
      <c r="E81" s="106" t="n"/>
      <c r="F81" s="106" t="n"/>
      <c r="G81" s="106" t="n"/>
      <c r="H81" s="106" t="n"/>
      <c r="I81" s="106" t="n"/>
      <c r="J81" s="106" t="n"/>
    </row>
    <row r="82">
      <c r="A82" s="106" t="n"/>
      <c r="B82" s="106" t="n"/>
      <c r="C82" s="106" t="n"/>
      <c r="D82" s="106" t="n"/>
      <c r="E82" s="106" t="n"/>
      <c r="F82" s="106" t="n"/>
      <c r="G82" s="106" t="n"/>
      <c r="H82" s="106" t="n"/>
      <c r="I82" s="106" t="n"/>
      <c r="J82" s="106" t="n"/>
    </row>
    <row r="83">
      <c r="A83" s="106" t="n"/>
      <c r="B83" s="106" t="n"/>
      <c r="C83" s="106" t="n"/>
      <c r="D83" s="106" t="n"/>
      <c r="E83" s="106" t="n"/>
      <c r="F83" s="106" t="n"/>
      <c r="G83" s="106" t="n"/>
      <c r="H83" s="106" t="n"/>
      <c r="I83" s="106" t="n"/>
      <c r="J83" s="106" t="n"/>
    </row>
    <row r="84">
      <c r="A84" s="106" t="n"/>
      <c r="B84" s="106" t="n"/>
      <c r="C84" s="106" t="n"/>
      <c r="D84" s="106" t="n"/>
      <c r="E84" s="106" t="n"/>
      <c r="F84" s="106" t="n"/>
      <c r="G84" s="106" t="n"/>
      <c r="H84" s="106" t="n"/>
      <c r="I84" s="106" t="n"/>
      <c r="J84" s="106" t="n"/>
    </row>
    <row r="85">
      <c r="A85" s="106" t="n"/>
      <c r="B85" s="106" t="n"/>
      <c r="C85" s="106" t="n"/>
      <c r="D85" s="106" t="n"/>
      <c r="E85" s="106" t="n"/>
      <c r="F85" s="106" t="n"/>
      <c r="G85" s="106" t="n"/>
      <c r="H85" s="106" t="n"/>
      <c r="I85" s="106" t="n"/>
      <c r="J85" s="106" t="n"/>
    </row>
    <row r="86">
      <c r="A86" s="106" t="n"/>
      <c r="B86" s="106" t="n"/>
      <c r="C86" s="106" t="n"/>
      <c r="D86" s="106" t="n"/>
      <c r="E86" s="106" t="n"/>
      <c r="F86" s="106" t="n"/>
      <c r="G86" s="106" t="n"/>
      <c r="H86" s="106" t="n"/>
      <c r="I86" s="106" t="n"/>
      <c r="J86" s="106" t="n"/>
    </row>
    <row r="87">
      <c r="A87" s="106" t="n"/>
      <c r="B87" s="106" t="n"/>
      <c r="C87" s="106" t="n"/>
      <c r="D87" s="106" t="n"/>
      <c r="E87" s="106" t="n"/>
      <c r="F87" s="106" t="n"/>
      <c r="G87" s="106" t="n"/>
      <c r="H87" s="106" t="n"/>
      <c r="I87" s="106" t="n"/>
      <c r="J87" s="106" t="n"/>
    </row>
    <row r="88">
      <c r="A88" s="106" t="n"/>
      <c r="B88" s="106" t="n"/>
      <c r="C88" s="106" t="n"/>
      <c r="D88" s="106" t="n"/>
      <c r="E88" s="106" t="n"/>
      <c r="F88" s="106" t="n"/>
      <c r="G88" s="106" t="n"/>
      <c r="H88" s="106" t="n"/>
      <c r="I88" s="106" t="n"/>
      <c r="J88" s="106" t="n"/>
    </row>
    <row r="89">
      <c r="A89" s="106" t="n"/>
      <c r="B89" s="106" t="n"/>
      <c r="C89" s="106" t="n"/>
      <c r="D89" s="106" t="n"/>
      <c r="E89" s="106" t="n"/>
      <c r="F89" s="106" t="n"/>
      <c r="G89" s="106" t="n"/>
      <c r="H89" s="106" t="n"/>
      <c r="I89" s="106" t="n"/>
      <c r="J89" s="106" t="n"/>
    </row>
    <row r="90">
      <c r="A90" s="106" t="n"/>
      <c r="B90" s="106" t="n"/>
      <c r="C90" s="106" t="n"/>
      <c r="D90" s="106" t="n"/>
      <c r="E90" s="106" t="n"/>
      <c r="F90" s="106" t="n"/>
      <c r="G90" s="106" t="n"/>
      <c r="H90" s="106" t="n"/>
      <c r="I90" s="106" t="n"/>
      <c r="J90" s="106" t="n"/>
    </row>
    <row r="91">
      <c r="A91" s="106" t="n"/>
      <c r="B91" s="106" t="n"/>
      <c r="C91" s="106" t="n"/>
      <c r="D91" s="106" t="n"/>
      <c r="E91" s="106" t="n"/>
      <c r="F91" s="106" t="n"/>
      <c r="G91" s="106" t="n"/>
      <c r="H91" s="106" t="n"/>
      <c r="I91" s="106" t="n"/>
      <c r="J91" s="106" t="n"/>
    </row>
    <row r="92">
      <c r="A92" s="106" t="n"/>
      <c r="B92" s="106" t="n"/>
      <c r="C92" s="106" t="n"/>
      <c r="D92" s="106" t="n"/>
      <c r="E92" s="106" t="n"/>
      <c r="F92" s="106" t="n"/>
      <c r="G92" s="106" t="n"/>
      <c r="H92" s="106" t="n"/>
      <c r="I92" s="106" t="n"/>
      <c r="J92" s="106" t="n"/>
    </row>
    <row r="93">
      <c r="A93" s="106" t="n"/>
      <c r="B93" s="106" t="n"/>
      <c r="C93" s="106" t="n"/>
      <c r="D93" s="106" t="n"/>
      <c r="E93" s="106" t="n"/>
      <c r="F93" s="106" t="n"/>
      <c r="G93" s="106" t="n"/>
      <c r="H93" s="106" t="n"/>
      <c r="I93" s="106" t="n"/>
      <c r="J93" s="106" t="n"/>
    </row>
    <row r="94">
      <c r="A94" s="106" t="n"/>
      <c r="B94" s="106" t="n"/>
      <c r="C94" s="106" t="n"/>
      <c r="D94" s="106" t="n"/>
      <c r="E94" s="106" t="n"/>
      <c r="F94" s="106" t="n"/>
      <c r="G94" s="106" t="n"/>
      <c r="H94" s="106" t="n"/>
      <c r="I94" s="106" t="n"/>
      <c r="J94" s="106" t="n"/>
    </row>
    <row r="95">
      <c r="A95" s="106" t="n"/>
      <c r="B95" s="106" t="n"/>
      <c r="C95" s="106" t="n"/>
      <c r="D95" s="106" t="n"/>
      <c r="E95" s="106" t="n"/>
      <c r="F95" s="106" t="n"/>
      <c r="G95" s="106" t="n"/>
      <c r="H95" s="106" t="n"/>
      <c r="I95" s="106" t="n"/>
      <c r="J95" s="106" t="n"/>
    </row>
    <row r="96">
      <c r="A96" s="106" t="n"/>
      <c r="B96" s="106" t="n"/>
      <c r="C96" s="106" t="n"/>
      <c r="D96" s="106" t="n"/>
      <c r="E96" s="106" t="n"/>
      <c r="F96" s="106" t="n"/>
      <c r="G96" s="106" t="n"/>
      <c r="H96" s="106" t="n"/>
      <c r="I96" s="106" t="n"/>
      <c r="J96" s="106" t="n"/>
    </row>
    <row r="97">
      <c r="A97" s="106" t="n"/>
      <c r="B97" s="106" t="n"/>
      <c r="C97" s="106" t="n"/>
      <c r="D97" s="106" t="n"/>
      <c r="E97" s="106" t="n"/>
      <c r="F97" s="106" t="n"/>
      <c r="G97" s="106" t="n"/>
      <c r="H97" s="106" t="n"/>
      <c r="I97" s="106" t="n"/>
      <c r="J97" s="106" t="n"/>
    </row>
    <row r="98">
      <c r="A98" s="106" t="n"/>
      <c r="B98" s="106" t="n"/>
      <c r="C98" s="106" t="n"/>
      <c r="D98" s="106" t="n"/>
      <c r="E98" s="106" t="n"/>
      <c r="F98" s="106" t="n"/>
      <c r="G98" s="106" t="n"/>
      <c r="H98" s="106" t="n"/>
      <c r="I98" s="106" t="n"/>
      <c r="J98" s="106" t="n"/>
    </row>
    <row r="99">
      <c r="A99" s="106" t="n"/>
      <c r="B99" s="106" t="n"/>
      <c r="C99" s="106" t="n"/>
      <c r="D99" s="106" t="n"/>
      <c r="E99" s="106" t="n"/>
      <c r="F99" s="106" t="n"/>
      <c r="G99" s="106" t="n"/>
      <c r="H99" s="106" t="n"/>
      <c r="I99" s="106" t="n"/>
      <c r="J99" s="106" t="n"/>
    </row>
    <row r="100">
      <c r="A100" s="106" t="n"/>
      <c r="B100" s="106" t="n"/>
      <c r="C100" s="106" t="n"/>
      <c r="D100" s="106" t="n"/>
      <c r="E100" s="106" t="n"/>
      <c r="F100" s="106" t="n"/>
      <c r="G100" s="106" t="n"/>
      <c r="H100" s="106" t="n"/>
      <c r="I100" s="106" t="n"/>
      <c r="J100" s="106" t="n"/>
    </row>
  </sheetData>
  <mergeCells count="1">
    <mergeCell ref="A1:P1"/>
  </mergeCells>
  <conditionalFormatting sqref="B6:P6 B12:Q12">
    <cfRule type="cellIs" rank="0" priority="2" equalAverage="0" operator="equal" aboveAverage="0" dxfId="0" text="" percent="0" bottom="0">
      <formula>101</formula>
    </cfRule>
    <cfRule type="cellIs" rank="0" priority="3" equalAverage="0" operator="equal" aboveAverage="0" dxfId="1" text="" percent="0" bottom="0">
      <formula>102</formula>
    </cfRule>
    <cfRule type="cellIs" rank="0" priority="4" equalAverage="0" operator="equal" aboveAverage="0" dxfId="2" text="" percent="0" bottom="0">
      <formula>111</formula>
    </cfRule>
    <cfRule type="cellIs" rank="0" priority="5" equalAverage="0" operator="equal" aboveAverage="0" dxfId="3" text="" percent="0" bottom="0">
      <formula>112</formula>
    </cfRule>
    <cfRule type="cellIs" rank="0" priority="6" equalAverage="0" operator="equal" aboveAverage="0" dxfId="4" text="" percent="0" bottom="0">
      <formula>121</formula>
    </cfRule>
    <cfRule type="cellIs" rank="0" priority="7" equalAverage="0" operator="equal" aboveAverage="0" dxfId="0" text="" percent="0" bottom="0">
      <formula>6101</formula>
    </cfRule>
    <cfRule type="cellIs" rank="0" priority="8" equalAverage="0" operator="equal" aboveAverage="0" dxfId="1" text="" percent="0" bottom="0">
      <formula>6102</formula>
    </cfRule>
    <cfRule type="cellIs" rank="0" priority="9" equalAverage="0" operator="equal" aboveAverage="0" dxfId="2" text="" percent="0" bottom="0">
      <formula>6111</formula>
    </cfRule>
    <cfRule type="cellIs" rank="0" priority="10" equalAverage="0" operator="equal" aboveAverage="0" dxfId="3" text="" percent="0" bottom="0">
      <formula>6112</formula>
    </cfRule>
    <cfRule type="cellIs" rank="0" priority="11" equalAverage="0" operator="equal" aboveAverage="0" dxfId="4" text="" percent="0" bottom="0">
      <formula>6121</formula>
    </cfRule>
    <cfRule type="cellIs" rank="0" priority="12" equalAverage="0" operator="equal" aboveAverage="0" dxfId="0" text="" percent="0" bottom="0">
      <formula>7101</formula>
    </cfRule>
    <cfRule type="cellIs" rank="0" priority="13" equalAverage="0" operator="equal" aboveAverage="0" dxfId="1" text="" percent="0" bottom="0">
      <formula>7102</formula>
    </cfRule>
    <cfRule type="cellIs" rank="0" priority="14" equalAverage="0" operator="equal" aboveAverage="0" dxfId="2" text="" percent="0" bottom="0">
      <formula>7111</formula>
    </cfRule>
    <cfRule type="cellIs" rank="0" priority="15" equalAverage="0" operator="equal" aboveAverage="0" dxfId="3" text="" percent="0" bottom="0">
      <formula>7112</formula>
    </cfRule>
    <cfRule type="cellIs" rank="0" priority="16" equalAverage="0" operator="equal" aboveAverage="0" dxfId="4" text="" percent="0" bottom="0">
      <formula>7121</formula>
    </cfRule>
    <cfRule type="cellIs" rank="0" priority="17" equalAverage="0" operator="equal" aboveAverage="0" dxfId="5" text="" percent="0" bottom="0">
      <formula>"X_AM"</formula>
    </cfRule>
    <cfRule type="cellIs" rank="0" priority="18" equalAverage="0" operator="equal" aboveAverage="0" dxfId="5" text="" percent="0" bottom="0">
      <formula>"X_PM"</formula>
    </cfRule>
    <cfRule type="cellIs" rank="0" priority="19" equalAverage="0" operator="equal" aboveAverage="0" dxfId="6" text="" percent="0" bottom="0">
      <formula>"X_10"</formula>
    </cfRule>
    <cfRule type="cellIs" rank="0" priority="20" equalAverage="0" operator="equal" aboveAverage="0" dxfId="7" text="" percent="0" bottom="0">
      <formula>"CN"</formula>
    </cfRule>
    <cfRule type="cellIs" rank="0" priority="21" equalAverage="0" operator="equal" aboveAverage="0" dxfId="7" text="" percent="0" bottom="0">
      <formula>"JC"</formula>
    </cfRule>
    <cfRule type="cellIs" rank="0" priority="22" equalAverage="0" operator="equal" aboveAverage="0" dxfId="8" text="" percent="0" bottom="0">
      <formula>"RH"</formula>
    </cfRule>
    <cfRule type="cellIs" rank="0" priority="23" equalAverage="0" operator="equal" aboveAverage="0" dxfId="9" text="" percent="0" bottom="0">
      <formula>"CH"</formula>
    </cfRule>
    <cfRule type="cellIs" rank="0" priority="24" equalAverage="0" operator="equal" aboveAverage="0" dxfId="10" text="" percent="0" bottom="0">
      <formula>"RR"</formula>
    </cfRule>
    <cfRule type="cellIs" rank="0" priority="25" equalAverage="0" operator="equal" aboveAverage="0" dxfId="11" text="" percent="0" bottom="0">
      <formula>"ZM"</formula>
    </cfRule>
  </conditionalFormatting>
  <conditionalFormatting sqref="B56 B57">
    <cfRule type="cellIs" rank="0" priority="26" equalAverage="0" operator="greaterThan" aboveAverage="0" dxfId="12" text="" percent="0" bottom="0">
      <formula>160</formula>
    </cfRule>
  </conditionalFormatting>
  <conditionalFormatting sqref="B6:Q6">
    <cfRule type="cellIs" priority="26" operator="equal" dxfId="13">
      <formula>"CV"</formula>
    </cfRule>
    <cfRule type="cellIs" priority="27" operator="equal" dxfId="14">
      <formula>"AG"</formula>
    </cfRule>
  </conditionalFormatting>
  <conditionalFormatting sqref="B12:R12">
    <cfRule type="cellIs" priority="28" operator="equal" dxfId="13">
      <formula>"CV"</formula>
    </cfRule>
    <cfRule type="cellIs" priority="29" operator="equal" dxfId="14">
      <formula>"AG"</formula>
    </cfRule>
  </conditionalFormatting>
  <conditionalFormatting sqref="B55">
    <cfRule type="cellIs" priority="30" operator="greaterThan" dxfId="15">
      <formula>160</formula>
    </cfRule>
  </conditionalFormatting>
  <conditionalFormatting sqref="C55">
    <cfRule type="cellIs" priority="31" operator="notEqual" dxfId="16">
      <formula>4</formula>
    </cfRule>
  </conditionalFormatting>
  <conditionalFormatting sqref="D55">
    <cfRule type="cellIs" priority="32" operator="notEqual" dxfId="16">
      <formula>4</formula>
    </cfRule>
  </conditionalFormatting>
  <conditionalFormatting sqref="E55">
    <cfRule type="cellIs" priority="33" operator="notEqual" dxfId="16">
      <formula>1</formula>
    </cfRule>
  </conditionalFormatting>
  <conditionalFormatting sqref="H55">
    <cfRule type="cellIs" priority="34" operator="equal" dxfId="17">
      <formula>"✓ OK"</formula>
    </cfRule>
    <cfRule type="cellIs" priority="35" operator="notEqual" dxfId="15">
      <formula>"✓ OK"</formula>
    </cfRule>
  </conditionalFormatting>
  <conditionalFormatting sqref="B56">
    <cfRule type="cellIs" priority="36" operator="greaterThan" dxfId="15">
      <formula>160</formula>
    </cfRule>
  </conditionalFormatting>
  <conditionalFormatting sqref="C56">
    <cfRule type="cellIs" priority="37" operator="notEqual" dxfId="16">
      <formula>4</formula>
    </cfRule>
  </conditionalFormatting>
  <conditionalFormatting sqref="D56">
    <cfRule type="cellIs" priority="38" operator="notEqual" dxfId="16">
      <formula>4</formula>
    </cfRule>
  </conditionalFormatting>
  <conditionalFormatting sqref="E56">
    <cfRule type="cellIs" priority="39" operator="notEqual" dxfId="16">
      <formula>1</formula>
    </cfRule>
  </conditionalFormatting>
  <conditionalFormatting sqref="H56">
    <cfRule type="cellIs" priority="40" operator="equal" dxfId="17">
      <formula>"✓ OK"</formula>
    </cfRule>
    <cfRule type="cellIs" priority="41" operator="notEqual" dxfId="15">
      <formula>"✓ OK"</formula>
    </cfRule>
  </conditionalFormatting>
  <dataValidations count="1">
    <dataValidation sqref="B6:Q6 B12:R12" showDropDown="0" showInputMessage="0" showErrorMessage="0" allowBlank="1" type="list">
      <formula1>"101,102,111,112,121,6101,6102,6111,6112,6121,7101,7102,7111,7112,7121,X_AM,X_PM,X_10,AG,CN,JC,RH,CH,RR,CV,ZM"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Q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L48:L49 A1"/>
    </sheetView>
  </sheetViews>
  <sheetFormatPr baseColWidth="8" defaultColWidth="8.6796875" defaultRowHeight="15" customHeight="0" zeroHeight="0" outlineLevelRow="0"/>
  <cols>
    <col width="45" customWidth="1" style="66" min="1" max="1"/>
    <col width="10" customWidth="1" style="66" min="2" max="17"/>
  </cols>
  <sheetData>
    <row r="1" ht="24.75" customHeight="1" s="67">
      <c r="A1" s="107" t="inlineStr">
        <is>
          <t>JUIN 2026</t>
        </is>
      </c>
    </row>
    <row r="2" ht="15" customHeight="1" s="67">
      <c r="A2" s="69" t="n"/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</row>
    <row r="3" ht="15" customHeight="1" s="67">
      <c r="A3" s="108" t="inlineStr">
        <is>
          <t>Jours 1-15</t>
        </is>
      </c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</row>
    <row r="4" ht="18" customHeight="1" s="67">
      <c r="A4" s="76" t="inlineStr">
        <is>
          <t>Jour</t>
        </is>
      </c>
      <c r="B4" s="112" t="n">
        <v>1</v>
      </c>
      <c r="C4" s="110" t="n">
        <v>2</v>
      </c>
      <c r="D4" s="110" t="n">
        <v>3</v>
      </c>
      <c r="E4" s="110" t="n">
        <v>4</v>
      </c>
      <c r="F4" s="110" t="n">
        <v>5</v>
      </c>
      <c r="G4" s="111" t="n">
        <v>6</v>
      </c>
      <c r="H4" s="111" t="n">
        <v>7</v>
      </c>
      <c r="I4" s="110" t="n">
        <v>8</v>
      </c>
      <c r="J4" s="110" t="n">
        <v>9</v>
      </c>
      <c r="K4" s="110" t="n">
        <v>10</v>
      </c>
      <c r="L4" s="110" t="n">
        <v>11</v>
      </c>
      <c r="M4" s="110" t="n">
        <v>12</v>
      </c>
      <c r="N4" s="111" t="n">
        <v>13</v>
      </c>
      <c r="O4" s="111" t="n">
        <v>14</v>
      </c>
      <c r="P4" s="110" t="n">
        <v>15</v>
      </c>
    </row>
    <row r="5" ht="18" customHeight="1" s="67">
      <c r="A5" s="76" t="inlineStr">
        <is>
          <t>J.sem</t>
        </is>
      </c>
      <c r="B5" s="112" t="inlineStr">
        <is>
          <t>L</t>
        </is>
      </c>
      <c r="C5" s="110" t="inlineStr">
        <is>
          <t>M</t>
        </is>
      </c>
      <c r="D5" s="110" t="inlineStr">
        <is>
          <t>M</t>
        </is>
      </c>
      <c r="E5" s="110" t="inlineStr">
        <is>
          <t>J</t>
        </is>
      </c>
      <c r="F5" s="110" t="inlineStr">
        <is>
          <t>V</t>
        </is>
      </c>
      <c r="G5" s="111" t="inlineStr">
        <is>
          <t>S</t>
        </is>
      </c>
      <c r="H5" s="111" t="inlineStr">
        <is>
          <t>D</t>
        </is>
      </c>
      <c r="I5" s="110" t="inlineStr">
        <is>
          <t>L</t>
        </is>
      </c>
      <c r="J5" s="110" t="inlineStr">
        <is>
          <t>M</t>
        </is>
      </c>
      <c r="K5" s="110" t="inlineStr">
        <is>
          <t>M</t>
        </is>
      </c>
      <c r="L5" s="110" t="inlineStr">
        <is>
          <t>J</t>
        </is>
      </c>
      <c r="M5" s="110" t="inlineStr">
        <is>
          <t>V</t>
        </is>
      </c>
      <c r="N5" s="111" t="inlineStr">
        <is>
          <t>S</t>
        </is>
      </c>
      <c r="O5" s="111" t="inlineStr">
        <is>
          <t>D</t>
        </is>
      </c>
      <c r="P5" s="110" t="inlineStr">
        <is>
          <t>L</t>
        </is>
      </c>
    </row>
    <row r="6" ht="24.75" customHeight="1" s="67">
      <c r="A6" s="76" t="inlineStr">
        <is>
          <t>Code</t>
        </is>
      </c>
      <c r="B6" s="115" t="n"/>
      <c r="C6" s="114" t="n"/>
      <c r="D6" s="114" t="n"/>
      <c r="E6" s="114" t="n"/>
      <c r="F6" s="114" t="n"/>
      <c r="G6" s="114" t="n"/>
      <c r="H6" s="114" t="n"/>
      <c r="I6" s="114" t="n"/>
      <c r="J6" s="114" t="n"/>
      <c r="K6" s="114" t="n"/>
      <c r="L6" s="114" t="n"/>
      <c r="M6" s="114" t="n"/>
      <c r="N6" s="114" t="n"/>
      <c r="O6" s="114" t="n"/>
      <c r="P6" s="114" t="n"/>
    </row>
    <row r="7" ht="15" customHeight="1" s="67">
      <c r="A7" s="76" t="inlineStr">
        <is>
          <t>Période</t>
        </is>
      </c>
      <c r="B7" s="117" t="inlineStr">
        <is>
          <t>P6</t>
        </is>
      </c>
      <c r="C7" s="118" t="inlineStr">
        <is>
          <t>P6</t>
        </is>
      </c>
      <c r="D7" s="118" t="inlineStr">
        <is>
          <t>P6</t>
        </is>
      </c>
      <c r="E7" s="118" t="inlineStr">
        <is>
          <t>P6</t>
        </is>
      </c>
      <c r="F7" s="118" t="inlineStr">
        <is>
          <t>P6</t>
        </is>
      </c>
      <c r="G7" s="118" t="inlineStr">
        <is>
          <t>P6</t>
        </is>
      </c>
      <c r="H7" s="118" t="inlineStr">
        <is>
          <t>P6</t>
        </is>
      </c>
      <c r="I7" s="118" t="inlineStr">
        <is>
          <t>P6</t>
        </is>
      </c>
      <c r="J7" s="118" t="inlineStr">
        <is>
          <t>P6</t>
        </is>
      </c>
      <c r="K7" s="118" t="inlineStr">
        <is>
          <t>P6</t>
        </is>
      </c>
      <c r="L7" s="118" t="inlineStr">
        <is>
          <t>P6</t>
        </is>
      </c>
      <c r="M7" s="118" t="inlineStr">
        <is>
          <t>P6</t>
        </is>
      </c>
      <c r="N7" s="118" t="inlineStr">
        <is>
          <t>P6</t>
        </is>
      </c>
      <c r="O7" s="118" t="inlineStr">
        <is>
          <t>P6</t>
        </is>
      </c>
      <c r="P7" s="118" t="inlineStr">
        <is>
          <t>P6</t>
        </is>
      </c>
    </row>
    <row r="8" ht="15" customHeight="1" s="67">
      <c r="A8" s="69" t="n"/>
      <c r="B8" s="69" t="n"/>
      <c r="C8" s="69" t="n"/>
      <c r="D8" s="69" t="n"/>
      <c r="E8" s="69" t="n"/>
      <c r="F8" s="69" t="n"/>
      <c r="G8" s="69" t="n"/>
      <c r="H8" s="69" t="n"/>
      <c r="I8" s="69" t="n"/>
      <c r="J8" s="69" t="n"/>
      <c r="K8" s="69" t="n"/>
      <c r="L8" s="69" t="n"/>
      <c r="M8" s="69" t="n"/>
      <c r="N8" s="69" t="n"/>
      <c r="O8" s="69" t="n"/>
      <c r="P8" s="69" t="n"/>
    </row>
    <row r="9" ht="15" customHeight="1" s="67">
      <c r="A9" s="108" t="inlineStr">
        <is>
          <t>Jours 16-30</t>
        </is>
      </c>
      <c r="B9" s="69" t="n"/>
      <c r="C9" s="69" t="n"/>
      <c r="D9" s="69" t="n"/>
      <c r="E9" s="69" t="n"/>
      <c r="F9" s="69" t="n"/>
      <c r="G9" s="69" t="n"/>
      <c r="H9" s="69" t="n"/>
      <c r="I9" s="69" t="n"/>
      <c r="J9" s="69" t="n"/>
      <c r="K9" s="69" t="n"/>
      <c r="L9" s="69" t="n"/>
      <c r="M9" s="69" t="n"/>
      <c r="N9" s="69" t="n"/>
      <c r="O9" s="69" t="n"/>
      <c r="P9" s="69" t="n"/>
    </row>
    <row r="10" ht="18" customHeight="1" s="67">
      <c r="A10" s="76" t="inlineStr">
        <is>
          <t>Jour</t>
        </is>
      </c>
      <c r="B10" s="110" t="n">
        <v>16</v>
      </c>
      <c r="C10" s="110" t="n">
        <v>17</v>
      </c>
      <c r="D10" s="110" t="n">
        <v>18</v>
      </c>
      <c r="E10" s="110" t="n">
        <v>19</v>
      </c>
      <c r="F10" s="111" t="n">
        <v>20</v>
      </c>
      <c r="G10" s="111" t="n">
        <v>21</v>
      </c>
      <c r="H10" s="110" t="n">
        <v>22</v>
      </c>
      <c r="I10" s="110" t="n">
        <v>23</v>
      </c>
      <c r="J10" s="110" t="n">
        <v>24</v>
      </c>
      <c r="K10" s="110" t="n">
        <v>25</v>
      </c>
      <c r="L10" s="110" t="n">
        <v>26</v>
      </c>
      <c r="M10" s="111" t="n">
        <v>27</v>
      </c>
      <c r="N10" s="112" t="n">
        <v>28</v>
      </c>
      <c r="O10" s="142" t="n">
        <v>29</v>
      </c>
      <c r="P10" s="119" t="n">
        <v>30</v>
      </c>
      <c r="Q10" s="141" t="n"/>
    </row>
    <row r="11" ht="18" customHeight="1" s="67">
      <c r="A11" s="76" t="inlineStr">
        <is>
          <t>J.sem</t>
        </is>
      </c>
      <c r="B11" s="110" t="inlineStr">
        <is>
          <t>M</t>
        </is>
      </c>
      <c r="C11" s="110" t="inlineStr">
        <is>
          <t>M</t>
        </is>
      </c>
      <c r="D11" s="110" t="inlineStr">
        <is>
          <t>J</t>
        </is>
      </c>
      <c r="E11" s="110" t="inlineStr">
        <is>
          <t>V</t>
        </is>
      </c>
      <c r="F11" s="111" t="inlineStr">
        <is>
          <t>S</t>
        </is>
      </c>
      <c r="G11" s="111" t="inlineStr">
        <is>
          <t>D</t>
        </is>
      </c>
      <c r="H11" s="110" t="inlineStr">
        <is>
          <t>L</t>
        </is>
      </c>
      <c r="I11" s="110" t="inlineStr">
        <is>
          <t>M</t>
        </is>
      </c>
      <c r="J11" s="110" t="inlineStr">
        <is>
          <t>M</t>
        </is>
      </c>
      <c r="K11" s="110" t="inlineStr">
        <is>
          <t>J</t>
        </is>
      </c>
      <c r="L11" s="110" t="inlineStr">
        <is>
          <t>V</t>
        </is>
      </c>
      <c r="M11" s="111" t="inlineStr">
        <is>
          <t>S</t>
        </is>
      </c>
      <c r="N11" s="112" t="inlineStr">
        <is>
          <t>D</t>
        </is>
      </c>
      <c r="O11" s="142" t="inlineStr">
        <is>
          <t>L</t>
        </is>
      </c>
      <c r="P11" s="119" t="inlineStr">
        <is>
          <t>M</t>
        </is>
      </c>
      <c r="Q11" s="141" t="n"/>
    </row>
    <row r="12" ht="24.75" customHeight="1" s="67">
      <c r="A12" s="76" t="inlineStr">
        <is>
          <t>Code</t>
        </is>
      </c>
      <c r="B12" s="114" t="n"/>
      <c r="C12" s="114" t="n"/>
      <c r="D12" s="114" t="n"/>
      <c r="E12" s="114" t="n"/>
      <c r="F12" s="114" t="n"/>
      <c r="G12" s="114" t="n"/>
      <c r="H12" s="114" t="n"/>
      <c r="I12" s="114" t="n"/>
      <c r="J12" s="114" t="n"/>
      <c r="K12" s="114" t="n"/>
      <c r="L12" s="114" t="n"/>
      <c r="M12" s="114" t="n"/>
      <c r="N12" s="139" t="n"/>
      <c r="O12" s="115" t="n"/>
      <c r="P12" s="114" t="n"/>
      <c r="Q12" s="141" t="n"/>
    </row>
    <row r="13" ht="15" customHeight="1" s="67">
      <c r="A13" s="76" t="inlineStr">
        <is>
          <t>Période</t>
        </is>
      </c>
      <c r="B13" s="118" t="inlineStr">
        <is>
          <t>P6</t>
        </is>
      </c>
      <c r="C13" s="118" t="inlineStr">
        <is>
          <t>P6</t>
        </is>
      </c>
      <c r="D13" s="118" t="inlineStr">
        <is>
          <t>P6</t>
        </is>
      </c>
      <c r="E13" s="118" t="inlineStr">
        <is>
          <t>P6</t>
        </is>
      </c>
      <c r="F13" s="118" t="inlineStr">
        <is>
          <t>P6</t>
        </is>
      </c>
      <c r="G13" s="118" t="inlineStr">
        <is>
          <t>P6</t>
        </is>
      </c>
      <c r="H13" s="118" t="inlineStr">
        <is>
          <t>P6</t>
        </is>
      </c>
      <c r="I13" s="118" t="inlineStr">
        <is>
          <t>P6</t>
        </is>
      </c>
      <c r="J13" s="118" t="inlineStr">
        <is>
          <t>P6</t>
        </is>
      </c>
      <c r="K13" s="118" t="inlineStr">
        <is>
          <t>P6</t>
        </is>
      </c>
      <c r="L13" s="118" t="inlineStr">
        <is>
          <t>P6</t>
        </is>
      </c>
      <c r="M13" s="118" t="inlineStr">
        <is>
          <t>P6</t>
        </is>
      </c>
      <c r="N13" s="117" t="inlineStr">
        <is>
          <t>P6</t>
        </is>
      </c>
      <c r="O13" s="143" t="inlineStr">
        <is>
          <t>P7</t>
        </is>
      </c>
      <c r="P13" s="118" t="inlineStr">
        <is>
          <t>P7</t>
        </is>
      </c>
      <c r="Q13" s="141" t="n"/>
    </row>
    <row r="16" ht="15" customHeight="1" s="67">
      <c r="A16" s="104" t="inlineStr">
        <is>
          <t>Prestations</t>
        </is>
      </c>
      <c r="B16" s="104" t="inlineStr">
        <is>
          <t>Jours</t>
        </is>
      </c>
      <c r="C16" s="104" t="inlineStr">
        <is>
          <t>H. Totales</t>
        </is>
      </c>
      <c r="D16" s="104" t="inlineStr">
        <is>
          <t>H. Nuit</t>
        </is>
      </c>
      <c r="E16" s="104" t="inlineStr">
        <is>
          <t>Couleur</t>
        </is>
      </c>
      <c r="F16" s="106" t="n"/>
      <c r="G16" s="106" t="n"/>
      <c r="H16" s="106" t="n"/>
      <c r="I16" s="106" t="n"/>
      <c r="J16" s="106" t="n"/>
    </row>
    <row r="17">
      <c r="A17" s="105" t="inlineStr">
        <is>
          <t>101</t>
        </is>
      </c>
      <c r="B17" s="105">
        <f>COUNTIF(B6:P6,"101")+COUNTIF(B12:R12,"101")</f>
        <v/>
      </c>
      <c r="C17" s="105">
        <f>B17*8</f>
        <v/>
      </c>
      <c r="D17" s="105">
        <f>B17*2</f>
        <v/>
      </c>
      <c r="E17" s="121" t="n"/>
      <c r="F17" s="106" t="n"/>
      <c r="G17" s="106" t="n"/>
      <c r="H17" s="106" t="n"/>
      <c r="I17" s="106" t="n"/>
      <c r="J17" s="106" t="n"/>
    </row>
    <row r="18" ht="15" customHeight="1" s="67">
      <c r="A18" s="105" t="inlineStr">
        <is>
          <t>102</t>
        </is>
      </c>
      <c r="B18" s="105">
        <f>COUNTIF(B6:P6,"102")+COUNTIF(B12:R12,"102")</f>
        <v/>
      </c>
      <c r="C18" s="105">
        <f>B18*8</f>
        <v/>
      </c>
      <c r="D18" s="105">
        <f>B18*2</f>
        <v/>
      </c>
      <c r="E18" s="122" t="n"/>
      <c r="F18" s="106" t="n"/>
      <c r="G18" s="106" t="n"/>
      <c r="H18" s="106" t="n"/>
      <c r="I18" s="106" t="n"/>
      <c r="J18" s="106" t="n"/>
    </row>
    <row r="19" ht="15" customHeight="1" s="67">
      <c r="A19" s="105" t="inlineStr">
        <is>
          <t>111</t>
        </is>
      </c>
      <c r="B19" s="105">
        <f>COUNTIF(B6:P6,"111")+COUNTIF(B12:R12,"111")</f>
        <v/>
      </c>
      <c r="C19" s="105">
        <f>B19*8</f>
        <v/>
      </c>
      <c r="D19" s="105">
        <f>B19*2</f>
        <v/>
      </c>
      <c r="E19" s="123" t="n"/>
      <c r="F19" s="106" t="n"/>
      <c r="G19" s="106" t="n"/>
      <c r="H19" s="106" t="n"/>
      <c r="I19" s="106" t="n"/>
      <c r="J19" s="106" t="n"/>
    </row>
    <row r="20" ht="15" customHeight="1" s="67">
      <c r="A20" s="105" t="inlineStr">
        <is>
          <t>112</t>
        </is>
      </c>
      <c r="B20" s="105">
        <f>COUNTIF(B6:P6,"112")+COUNTIF(B12:R12,"112")</f>
        <v/>
      </c>
      <c r="C20" s="105">
        <f>B20*8</f>
        <v/>
      </c>
      <c r="D20" s="105">
        <f>B20*2</f>
        <v/>
      </c>
      <c r="E20" s="124" t="n"/>
      <c r="F20" s="106" t="n"/>
      <c r="G20" s="106" t="n"/>
      <c r="H20" s="106" t="n"/>
      <c r="I20" s="106" t="n"/>
      <c r="J20" s="106" t="n"/>
    </row>
    <row r="21" ht="15" customHeight="1" s="67">
      <c r="A21" s="105" t="inlineStr">
        <is>
          <t>121</t>
        </is>
      </c>
      <c r="B21" s="105">
        <f>COUNTIF(B6:P6,"121")+COUNTIF(B12:R12,"121")</f>
        <v/>
      </c>
      <c r="C21" s="105">
        <f>B21*8</f>
        <v/>
      </c>
      <c r="D21" s="105">
        <f>B21*8</f>
        <v/>
      </c>
      <c r="E21" s="125" t="n"/>
      <c r="F21" s="106" t="n"/>
      <c r="G21" s="106" t="n"/>
      <c r="H21" s="106" t="n"/>
      <c r="I21" s="106" t="n"/>
      <c r="J21" s="106" t="n"/>
    </row>
    <row r="22" ht="15" customHeight="1" s="67">
      <c r="A22" s="105" t="inlineStr">
        <is>
          <t>6101</t>
        </is>
      </c>
      <c r="B22" s="105">
        <f>COUNTIF(B6:P6,"6101")+COUNTIF(B12:R12,"6101")</f>
        <v/>
      </c>
      <c r="C22" s="105">
        <f>B22*8</f>
        <v/>
      </c>
      <c r="D22" s="105">
        <f>B22*2</f>
        <v/>
      </c>
      <c r="E22" s="121" t="n"/>
      <c r="F22" s="106" t="n"/>
      <c r="G22" s="106" t="n"/>
      <c r="H22" s="106" t="n"/>
      <c r="I22" s="106" t="n"/>
      <c r="J22" s="106" t="n"/>
    </row>
    <row r="23" ht="15" customHeight="1" s="67">
      <c r="A23" s="105" t="inlineStr">
        <is>
          <t>6102</t>
        </is>
      </c>
      <c r="B23" s="105">
        <f>COUNTIF(B6:P6,"6102")+COUNTIF(B12:R12,"6102")</f>
        <v/>
      </c>
      <c r="C23" s="105">
        <f>B23*8</f>
        <v/>
      </c>
      <c r="D23" s="105">
        <f>B23*2</f>
        <v/>
      </c>
      <c r="E23" s="122" t="n"/>
      <c r="F23" s="106" t="n"/>
      <c r="G23" s="106" t="n"/>
      <c r="H23" s="106" t="n"/>
      <c r="I23" s="106" t="n"/>
      <c r="J23" s="106" t="n"/>
    </row>
    <row r="24" ht="15" customHeight="1" s="67">
      <c r="A24" s="105" t="inlineStr">
        <is>
          <t>6111</t>
        </is>
      </c>
      <c r="B24" s="105">
        <f>COUNTIF(B6:P6,"6111")+COUNTIF(B12:R12,"6111")</f>
        <v/>
      </c>
      <c r="C24" s="105">
        <f>B24*8</f>
        <v/>
      </c>
      <c r="D24" s="105">
        <f>B24*2</f>
        <v/>
      </c>
      <c r="E24" s="123" t="n"/>
      <c r="F24" s="106" t="n"/>
      <c r="G24" s="106" t="n"/>
      <c r="H24" s="106" t="n"/>
      <c r="I24" s="106" t="n"/>
      <c r="J24" s="106" t="n"/>
    </row>
    <row r="25" ht="15" customHeight="1" s="67">
      <c r="A25" s="105" t="inlineStr">
        <is>
          <t>6112</t>
        </is>
      </c>
      <c r="B25" s="105">
        <f>COUNTIF(B6:P6,"6112")+COUNTIF(B12:R12,"6112")</f>
        <v/>
      </c>
      <c r="C25" s="105">
        <f>B25*8</f>
        <v/>
      </c>
      <c r="D25" s="105">
        <f>B25*2</f>
        <v/>
      </c>
      <c r="E25" s="124" t="n"/>
      <c r="F25" s="106" t="n"/>
      <c r="G25" s="106" t="n"/>
      <c r="H25" s="106" t="n"/>
      <c r="I25" s="106" t="n"/>
      <c r="J25" s="106" t="n"/>
    </row>
    <row r="26" ht="15" customHeight="1" s="67">
      <c r="A26" s="105" t="inlineStr">
        <is>
          <t>6121</t>
        </is>
      </c>
      <c r="B26" s="105">
        <f>COUNTIF(B6:P6,"6121")+COUNTIF(B12:R12,"6121")</f>
        <v/>
      </c>
      <c r="C26" s="105">
        <f>B26*8</f>
        <v/>
      </c>
      <c r="D26" s="105">
        <f>B26*8</f>
        <v/>
      </c>
      <c r="E26" s="125" t="n"/>
      <c r="F26" s="106" t="n"/>
      <c r="G26" s="106" t="n"/>
      <c r="H26" s="106" t="n"/>
      <c r="I26" s="106" t="n"/>
      <c r="J26" s="106" t="n"/>
    </row>
    <row r="27" ht="15" customHeight="1" s="67">
      <c r="A27" s="105" t="inlineStr">
        <is>
          <t>7101</t>
        </is>
      </c>
      <c r="B27" s="105">
        <f>COUNTIF(B6:P6,"7101")+COUNTIF(B12:R12,"7101")</f>
        <v/>
      </c>
      <c r="C27" s="105">
        <f>B27*8</f>
        <v/>
      </c>
      <c r="D27" s="105">
        <f>B27*2</f>
        <v/>
      </c>
      <c r="E27" s="121" t="n"/>
      <c r="F27" s="106" t="n"/>
      <c r="G27" s="106" t="n"/>
      <c r="H27" s="106" t="n"/>
      <c r="I27" s="106" t="n"/>
      <c r="J27" s="106" t="n"/>
    </row>
    <row r="28" ht="15" customHeight="1" s="67">
      <c r="A28" s="105" t="inlineStr">
        <is>
          <t>7102</t>
        </is>
      </c>
      <c r="B28" s="105">
        <f>COUNTIF(B6:P6,"7102")+COUNTIF(B12:R12,"7102")</f>
        <v/>
      </c>
      <c r="C28" s="105">
        <f>B28*8</f>
        <v/>
      </c>
      <c r="D28" s="105">
        <f>B28*2</f>
        <v/>
      </c>
      <c r="E28" s="122" t="n"/>
      <c r="F28" s="106" t="n"/>
      <c r="G28" s="106" t="n"/>
      <c r="H28" s="106" t="n"/>
      <c r="I28" s="106" t="n"/>
      <c r="J28" s="106" t="n"/>
    </row>
    <row r="29" ht="15" customHeight="1" s="67">
      <c r="A29" s="105" t="inlineStr">
        <is>
          <t>7111</t>
        </is>
      </c>
      <c r="B29" s="105">
        <f>COUNTIF(B6:P6,"7111")+COUNTIF(B12:R12,"7111")</f>
        <v/>
      </c>
      <c r="C29" s="105">
        <f>B29*8</f>
        <v/>
      </c>
      <c r="D29" s="105">
        <f>B29*2</f>
        <v/>
      </c>
      <c r="E29" s="123" t="n"/>
      <c r="F29" s="106" t="n"/>
      <c r="G29" s="106" t="n"/>
      <c r="H29" s="106" t="n"/>
      <c r="I29" s="106" t="n"/>
      <c r="J29" s="106" t="n"/>
    </row>
    <row r="30" ht="15" customHeight="1" s="67">
      <c r="A30" s="105" t="inlineStr">
        <is>
          <t>7112</t>
        </is>
      </c>
      <c r="B30" s="105">
        <f>COUNTIF(B6:P6,"7112")+COUNTIF(B12:R12,"7112")</f>
        <v/>
      </c>
      <c r="C30" s="105">
        <f>B30*8</f>
        <v/>
      </c>
      <c r="D30" s="105">
        <f>B30*2</f>
        <v/>
      </c>
      <c r="E30" s="124" t="n"/>
      <c r="F30" s="106" t="n"/>
      <c r="G30" s="106" t="n"/>
      <c r="H30" s="106" t="n"/>
      <c r="I30" s="106" t="n"/>
      <c r="J30" s="106" t="n"/>
    </row>
    <row r="31" ht="15" customHeight="1" s="67">
      <c r="A31" s="105" t="inlineStr">
        <is>
          <t>7121</t>
        </is>
      </c>
      <c r="B31" s="105">
        <f>COUNTIF(B6:P6,"7121")+COUNTIF(B12:R12,"7121")</f>
        <v/>
      </c>
      <c r="C31" s="105">
        <f>B31*8</f>
        <v/>
      </c>
      <c r="D31" s="105">
        <f>B31*8</f>
        <v/>
      </c>
      <c r="E31" s="125" t="n"/>
      <c r="F31" s="106" t="n"/>
      <c r="G31" s="106" t="n"/>
      <c r="H31" s="106" t="n"/>
      <c r="I31" s="106" t="n"/>
      <c r="J31" s="106" t="n"/>
    </row>
    <row r="32" ht="15" customHeight="1" s="67">
      <c r="A32" s="105" t="inlineStr">
        <is>
          <t>X_AM</t>
        </is>
      </c>
      <c r="B32" s="105">
        <f>COUNTIF(B6:P6,"X_AM")+COUNTIF(B12:R12,"X_AM")</f>
        <v/>
      </c>
      <c r="C32" s="105">
        <f>B32*8</f>
        <v/>
      </c>
      <c r="D32" s="105">
        <f>B32*2</f>
        <v/>
      </c>
      <c r="E32" s="126" t="n"/>
      <c r="F32" s="106" t="n"/>
      <c r="G32" s="106" t="n"/>
      <c r="H32" s="106" t="n"/>
      <c r="I32" s="106" t="n"/>
      <c r="J32" s="106" t="n"/>
    </row>
    <row r="33" ht="15" customHeight="1" s="67">
      <c r="A33" s="105" t="inlineStr">
        <is>
          <t>X_PM</t>
        </is>
      </c>
      <c r="B33" s="105">
        <f>COUNTIF(B6:P6,"X_PM")+COUNTIF(B12:R12,"X_PM")</f>
        <v/>
      </c>
      <c r="C33" s="105">
        <f>B33*8</f>
        <v/>
      </c>
      <c r="D33" s="105">
        <f>B33*2</f>
        <v/>
      </c>
      <c r="E33" s="126" t="n"/>
      <c r="F33" s="106" t="n"/>
      <c r="G33" s="106" t="n"/>
      <c r="H33" s="106" t="n"/>
      <c r="I33" s="106" t="n"/>
      <c r="J33" s="106" t="n"/>
    </row>
    <row r="34" ht="15" customHeight="1" s="67">
      <c r="A34" s="105" t="inlineStr">
        <is>
          <t>X_10</t>
        </is>
      </c>
      <c r="B34" s="105">
        <f>COUNTIF(B6:P6,"X_10")+COUNTIF(B12:R12,"X_10")</f>
        <v/>
      </c>
      <c r="C34" s="105">
        <f>B34*8</f>
        <v/>
      </c>
      <c r="D34" s="105" t="n">
        <v>0</v>
      </c>
      <c r="E34" s="127" t="n"/>
      <c r="F34" s="106" t="n"/>
      <c r="G34" s="106" t="n"/>
      <c r="H34" s="106" t="n"/>
      <c r="I34" s="106" t="n"/>
      <c r="J34" s="106" t="n"/>
    </row>
    <row r="35" ht="15" customHeight="1" s="67">
      <c r="A35" s="105" t="inlineStr">
        <is>
          <t>AG</t>
        </is>
      </c>
      <c r="B35" s="105">
        <f>COUNTIF(B6:P6,"AG")+COUNTIF(B12:R12,"AG")</f>
        <v/>
      </c>
      <c r="C35" s="105">
        <f>B35*8</f>
        <v/>
      </c>
      <c r="D35" s="105" t="n">
        <v>0</v>
      </c>
      <c r="E35" s="128" t="n"/>
      <c r="F35" s="106" t="n"/>
      <c r="G35" s="106" t="n"/>
      <c r="H35" s="106" t="n"/>
      <c r="I35" s="106" t="n"/>
      <c r="J35" s="106" t="n"/>
    </row>
    <row r="36" ht="15" customHeight="1" s="67">
      <c r="A36" s="129" t="inlineStr">
        <is>
          <t>TOTAL</t>
        </is>
      </c>
      <c r="B36" s="129">
        <f>SUM(B17:B35)</f>
        <v/>
      </c>
      <c r="C36" s="129">
        <f>SUM(C17:C35)</f>
        <v/>
      </c>
      <c r="D36" s="129">
        <f>SUM(D17:D35)</f>
        <v/>
      </c>
      <c r="E36" s="129" t="n"/>
      <c r="F36" s="106" t="n"/>
      <c r="G36" s="106" t="n"/>
      <c r="H36" s="106" t="n"/>
      <c r="I36" s="106" t="n"/>
      <c r="J36" s="106" t="n"/>
    </row>
    <row r="37" ht="15" customHeight="1" s="67">
      <c r="A37" s="130" t="n"/>
      <c r="B37" s="130" t="n"/>
      <c r="C37" s="130" t="n"/>
      <c r="D37" s="130" t="n"/>
      <c r="E37" s="130" t="n"/>
      <c r="F37" s="106" t="n"/>
      <c r="G37" s="106" t="n"/>
      <c r="H37" s="106" t="n"/>
      <c r="I37" s="106" t="n"/>
      <c r="J37" s="106" t="n"/>
    </row>
    <row r="38" ht="15" customHeight="1" s="67">
      <c r="A38" s="104" t="inlineStr">
        <is>
          <t>REPOS</t>
        </is>
      </c>
      <c r="B38" s="104" t="inlineStr">
        <is>
          <t>Jours</t>
        </is>
      </c>
      <c r="C38" s="104" t="inlineStr">
        <is>
          <t>H. Totales</t>
        </is>
      </c>
      <c r="D38" s="104" t="inlineStr">
        <is>
          <t>H. Nuit</t>
        </is>
      </c>
      <c r="E38" s="104" t="inlineStr">
        <is>
          <t>Couleur</t>
        </is>
      </c>
      <c r="F38" s="106" t="n"/>
      <c r="G38" s="106" t="n"/>
      <c r="H38" s="106" t="n"/>
      <c r="I38" s="106" t="n"/>
      <c r="J38" s="106" t="n"/>
    </row>
    <row r="39" ht="15" customHeight="1" s="67">
      <c r="A39" s="105" t="inlineStr">
        <is>
          <t>CN</t>
        </is>
      </c>
      <c r="B39" s="105">
        <f>COUNTIF(B6:P6,"CN")+COUNTIF(B12:R12,"CN")</f>
        <v/>
      </c>
      <c r="C39" s="105">
        <f>B39*8</f>
        <v/>
      </c>
      <c r="D39" s="105" t="n">
        <v>0</v>
      </c>
      <c r="E39" s="131" t="n"/>
      <c r="F39" s="106" t="n"/>
      <c r="G39" s="106" t="n"/>
      <c r="H39" s="106" t="n"/>
      <c r="I39" s="106" t="n"/>
      <c r="J39" s="106" t="n"/>
    </row>
    <row r="40" ht="15" customHeight="1" s="67">
      <c r="A40" s="105" t="inlineStr">
        <is>
          <t>JC</t>
        </is>
      </c>
      <c r="B40" s="105">
        <f>COUNTIF(B6:P6,"JC")+COUNTIF(B12:R12,"JC")</f>
        <v/>
      </c>
      <c r="C40" s="105">
        <f>B40*8</f>
        <v/>
      </c>
      <c r="D40" s="105" t="n">
        <v>0</v>
      </c>
      <c r="E40" s="131" t="n"/>
      <c r="F40" s="106" t="n"/>
      <c r="G40" s="106" t="n"/>
      <c r="H40" s="106" t="n"/>
      <c r="I40" s="106" t="n"/>
      <c r="J40" s="106" t="n"/>
    </row>
    <row r="41" ht="15" customHeight="1" s="67">
      <c r="A41" s="105" t="inlineStr">
        <is>
          <t>RH</t>
        </is>
      </c>
      <c r="B41" s="105">
        <f>COUNTIF(B6:P6,"RH")+COUNTIF(B12:R12,"RH")</f>
        <v/>
      </c>
      <c r="C41" s="105" t="n">
        <v>0</v>
      </c>
      <c r="D41" s="105" t="n">
        <v>0</v>
      </c>
      <c r="E41" s="132" t="n"/>
      <c r="F41" s="106" t="n"/>
      <c r="G41" s="106" t="n"/>
      <c r="H41" s="106" t="n"/>
      <c r="I41" s="106" t="n"/>
      <c r="J41" s="106" t="n"/>
    </row>
    <row r="42" ht="15" customHeight="1" s="67">
      <c r="A42" s="105" t="inlineStr">
        <is>
          <t>CH</t>
        </is>
      </c>
      <c r="B42" s="105">
        <f>COUNTIF(B6:P6,"CH")+COUNTIF(B12:R12,"CH")</f>
        <v/>
      </c>
      <c r="C42" s="105" t="n">
        <v>0</v>
      </c>
      <c r="D42" s="105" t="n">
        <v>0</v>
      </c>
      <c r="E42" s="133" t="n"/>
      <c r="F42" s="106" t="n"/>
      <c r="G42" s="106" t="n"/>
      <c r="H42" s="106" t="n"/>
      <c r="I42" s="106" t="n"/>
      <c r="J42" s="106" t="n"/>
    </row>
    <row r="43" ht="15" customHeight="1" s="67">
      <c r="A43" s="105" t="inlineStr">
        <is>
          <t>RR</t>
        </is>
      </c>
      <c r="B43" s="105">
        <f>COUNTIF(B6:P6,"RR")+COUNTIF(B12:R12,"RR")</f>
        <v/>
      </c>
      <c r="C43" s="105">
        <f>B43*8</f>
        <v/>
      </c>
      <c r="D43" s="105" t="n">
        <v>0</v>
      </c>
      <c r="E43" s="134" t="n"/>
      <c r="F43" s="106" t="n"/>
      <c r="G43" s="106" t="n"/>
      <c r="H43" s="106" t="n"/>
      <c r="I43" s="106" t="n"/>
      <c r="J43" s="106" t="n"/>
    </row>
    <row r="44">
      <c r="A44" s="105" t="inlineStr">
        <is>
          <t>CV</t>
        </is>
      </c>
      <c r="B44" s="105">
        <f>COUNTIF(B6:P6,"CV")+COUNTIF(B12:R12,"CV")</f>
        <v/>
      </c>
      <c r="C44" s="105">
        <f>B44*8</f>
        <v/>
      </c>
      <c r="D44" s="105" t="n">
        <v>0</v>
      </c>
      <c r="E44" s="135" t="n"/>
      <c r="F44" s="106" t="n"/>
      <c r="G44" s="106" t="n"/>
      <c r="H44" s="106" t="n"/>
      <c r="I44" s="106" t="n"/>
      <c r="J44" s="106" t="n"/>
    </row>
    <row r="45" ht="15" customHeight="1" s="67">
      <c r="A45" s="105" t="inlineStr">
        <is>
          <t>ZM</t>
        </is>
      </c>
      <c r="B45" s="105">
        <f>COUNTIF(B6:P6,"ZM")+COUNTIF(B12:R12,"ZM")</f>
        <v/>
      </c>
      <c r="C45" s="105">
        <f>B45*8</f>
        <v/>
      </c>
      <c r="D45" s="105" t="n">
        <v>0</v>
      </c>
      <c r="E45" s="136" t="n"/>
      <c r="F45" s="106" t="n"/>
      <c r="G45" s="106" t="n"/>
      <c r="H45" s="106" t="n"/>
      <c r="I45" s="106" t="n"/>
      <c r="J45" s="106" t="n"/>
    </row>
    <row r="46">
      <c r="A46" s="129" t="inlineStr">
        <is>
          <t>TOTAL</t>
        </is>
      </c>
      <c r="B46" s="129">
        <f>SUM(B39:B45)</f>
        <v/>
      </c>
      <c r="C46" s="129">
        <f>SUM(C39:C45)</f>
        <v/>
      </c>
      <c r="D46" s="129">
        <f>SUM(D39:D45)</f>
        <v/>
      </c>
      <c r="E46" s="129" t="n"/>
      <c r="F46" s="106" t="n"/>
      <c r="G46" s="106" t="n"/>
      <c r="H46" s="106" t="n"/>
      <c r="I46" s="106" t="n"/>
      <c r="J46" s="106" t="n"/>
    </row>
    <row r="47" ht="15" customHeight="1" s="67">
      <c r="A47" s="130" t="n"/>
      <c r="B47" s="130" t="n"/>
      <c r="C47" s="130" t="n"/>
      <c r="D47" s="130" t="n"/>
      <c r="E47" s="106" t="n"/>
      <c r="F47" s="106" t="n"/>
      <c r="G47" s="106" t="n"/>
      <c r="H47" s="106" t="n"/>
      <c r="I47" s="106" t="n"/>
      <c r="J47" s="106" t="n"/>
    </row>
    <row r="48" ht="15" customHeight="1" s="67">
      <c r="A48" s="137" t="inlineStr">
        <is>
          <t>Total Heures</t>
        </is>
      </c>
      <c r="B48" s="130" t="n"/>
      <c r="C48" s="137">
        <f>C36+C46</f>
        <v/>
      </c>
      <c r="D48" s="130" t="n"/>
      <c r="E48" s="106" t="n"/>
      <c r="F48" s="106" t="n"/>
      <c r="G48" s="106" t="n"/>
      <c r="H48" s="106" t="n"/>
      <c r="I48" s="106" t="n"/>
      <c r="J48" s="106" t="n"/>
    </row>
    <row r="49" ht="15" customHeight="1" s="67">
      <c r="A49" s="130" t="n"/>
      <c r="B49" s="130" t="n"/>
      <c r="C49" s="130" t="n"/>
      <c r="D49" s="130" t="n"/>
      <c r="E49" s="106" t="n"/>
      <c r="F49" s="106" t="n"/>
      <c r="G49" s="106" t="n"/>
      <c r="H49" s="106" t="n"/>
      <c r="I49" s="106" t="n"/>
      <c r="J49" s="106" t="n"/>
    </row>
    <row r="50" ht="15" customHeight="1" s="67">
      <c r="A50" s="130" t="n"/>
      <c r="B50" s="130" t="n"/>
      <c r="C50" s="130" t="n"/>
      <c r="D50" s="130" t="n"/>
      <c r="E50" s="106" t="n"/>
      <c r="F50" s="106" t="n"/>
      <c r="G50" s="106" t="n"/>
      <c r="H50" s="106" t="n"/>
      <c r="I50" s="106" t="n"/>
      <c r="J50" s="106" t="n"/>
    </row>
    <row r="51" ht="15" customHeight="1" s="67">
      <c r="A51" s="130" t="n"/>
      <c r="B51" s="130" t="n"/>
      <c r="C51" s="130" t="n"/>
      <c r="D51" s="130" t="n"/>
      <c r="E51" s="106" t="n"/>
      <c r="F51" s="106" t="n"/>
      <c r="G51" s="106" t="n"/>
      <c r="H51" s="106" t="n"/>
      <c r="I51" s="106" t="n"/>
      <c r="J51" s="106" t="n"/>
    </row>
    <row r="52">
      <c r="A52" s="138" t="inlineStr">
        <is>
          <t>CONTRÔLES PAR PÉRIODE - JUIN</t>
        </is>
      </c>
      <c r="B52" s="106" t="n"/>
      <c r="C52" s="106" t="n"/>
      <c r="D52" s="106" t="n"/>
      <c r="E52" s="106" t="n"/>
      <c r="F52" s="106" t="n"/>
      <c r="G52" s="106" t="n"/>
      <c r="H52" s="106" t="n"/>
      <c r="I52" s="106" t="n"/>
      <c r="J52" s="106" t="n"/>
    </row>
    <row r="53" ht="15" customHeight="1" s="67">
      <c r="A53" s="130" t="n"/>
      <c r="B53" s="106" t="n"/>
      <c r="C53" s="106" t="n"/>
      <c r="D53" s="106" t="n"/>
      <c r="E53" s="106" t="n"/>
      <c r="F53" s="106" t="n"/>
      <c r="G53" s="106" t="n"/>
      <c r="H53" s="106" t="n"/>
      <c r="I53" s="106" t="n"/>
      <c r="J53" s="106" t="n"/>
    </row>
    <row r="54">
      <c r="A54" s="104" t="inlineStr">
        <is>
          <t>Période</t>
        </is>
      </c>
      <c r="B54" s="104" t="inlineStr">
        <is>
          <t>Heures</t>
        </is>
      </c>
      <c r="C54" s="104" t="inlineStr">
        <is>
          <t>CH</t>
        </is>
      </c>
      <c r="D54" s="104" t="inlineStr">
        <is>
          <t>RH</t>
        </is>
      </c>
      <c r="E54" s="104" t="inlineStr">
        <is>
          <t>CV</t>
        </is>
      </c>
      <c r="F54" s="104" t="inlineStr">
        <is>
          <t>RR</t>
        </is>
      </c>
      <c r="G54" s="104" t="inlineStr">
        <is>
          <t>Férié Trav.</t>
        </is>
      </c>
      <c r="H54" s="104" t="inlineStr">
        <is>
          <t>Statut</t>
        </is>
      </c>
      <c r="I54" s="106" t="n"/>
      <c r="J54" s="106" t="n"/>
    </row>
    <row r="55" ht="15" customHeight="1" s="67">
      <c r="A55" s="105" t="inlineStr">
        <is>
          <t>P6</t>
        </is>
      </c>
      <c r="B55" s="105">
        <f>(COUNTIF('Juin'!B6:P6,"101") + COUNTIF('Juin'!B12:N12,"101") + COUNTIF('Juin'!B6:P6,"102") + COUNTIF('Juin'!B12:N12,"102") + COUNTIF('Juin'!B6:P6,"111") + COUNTIF('Juin'!B12:N12,"111") + COUNTIF('Juin'!B6:P6,"112") + COUNTIF('Juin'!B12:N12,"112") + COUNTIF('Juin'!B6:P6,"121") + COUNTIF('Juin'!B12:N12,"121") + COUNTIF('Juin'!B6:P6,"6101") + COUNTIF('Juin'!B12:N12,"6101") + COUNTIF('Juin'!B6:P6,"6102") + COUNTIF('Juin'!B12:N12,"6102") + COUNTIF('Juin'!B6:P6,"6111") + COUNTIF('Juin'!B12:N12,"6111") + COUNTIF('Juin'!B6:P6,"6112") + COUNTIF('Juin'!B12:N12,"6112") + COUNTIF('Juin'!B6:P6,"6121") + COUNTIF('Juin'!B12:N12,"6121") + COUNTIF('Juin'!B6:P6,"7101") + COUNTIF('Juin'!B12:N12,"7101") + COUNTIF('Juin'!B6:P6,"7102") + COUNTIF('Juin'!B12:N12,"7102") + COUNTIF('Juin'!B6:P6,"7111") + COUNTIF('Juin'!B12:N12,"7111") + COUNTIF('Juin'!B6:P6,"7112") + COUNTIF('Juin'!B12:N12,"7112") + COUNTIF('Juin'!B6:P6,"7121") + COUNTIF('Juin'!B12:N12,"7121") + COUNTIF('Juin'!B6:P6,"X_AM") + COUNTIF('Juin'!B12:N12,"X_AM") + COUNTIF('Juin'!B6:P6,"X_PM") + COUNTIF('Juin'!B12:N12,"X_PM") + COUNTIF('Juin'!B6:P6,"X_10") + COUNTIF('Juin'!B12:N12,"X_10") + COUNTIF('Juin'!B6:P6,"AG") + COUNTIF('Juin'!B12:N12,"AG") + COUNTIF('Juin'!B6:P6,"CN") + COUNTIF('Juin'!B12:N12,"CN") + COUNTIF('Juin'!B6:P6,"JC") + COUNTIF('Juin'!B12:N12,"JC") + COUNTIF('Juin'!B6:P6,"RR") + COUNTIF('Juin'!B12:N12,"RR") + COUNTIF('Juin'!B6:P6,"ZM") + COUNTIF('Juin'!B12:N12,"ZM") + COUNTIF('Juin'!B6:P6,"CV") + COUNTIF('Juin'!B12:N12,"CV"))*8</f>
        <v/>
      </c>
      <c r="C55" s="105">
        <f>COUNTIF('Juin'!B6:P6,"CH")+COUNTIF('Juin'!B12:N12,"CH")</f>
        <v/>
      </c>
      <c r="D55" s="105">
        <f>COUNTIF('Juin'!B6:P6,"RH")+COUNTIF('Juin'!B12:N12,"RH")</f>
        <v/>
      </c>
      <c r="E55" s="105">
        <f>COUNTIF('Juin'!B6:P6,"CV")+COUNTIF('Juin'!B12:N12,"CV")</f>
        <v/>
      </c>
      <c r="F55" s="105">
        <f>COUNTIF('Juin'!B6:P6,"RR")+COUNTIF('Juin'!B12:N12,"RR")</f>
        <v/>
      </c>
      <c r="G55" s="105" t="n">
        <v>0</v>
      </c>
      <c r="H55" s="105">
        <f>IF(B55&gt;160,"⚠ &gt;160h",IF(C55&lt;&gt;4,"⚠ CH≠4",IF(D55&lt;&gt;4,"⚠ RH≠4",IF(E55&lt;&gt;1,"⚠ CV≠1",IF(AND(G55&gt;0,F55=0),"⚠ RR manquant","✓ OK")))))</f>
        <v/>
      </c>
      <c r="I55" s="106" t="n"/>
      <c r="J55" s="106" t="n"/>
    </row>
    <row r="56" ht="15" customHeight="1" s="67">
      <c r="A56" s="105" t="inlineStr">
        <is>
          <t>P7</t>
        </is>
      </c>
      <c r="B56" s="105">
        <f>(COUNTIF('Juin'!O12:P12,"101") + COUNTIF('Juillet'!B6:P6,"101") + COUNTIF('Juillet'!B12:L12,"101") + COUNTIF('Juin'!O12:P12,"102") + COUNTIF('Juillet'!B6:P6,"102") + COUNTIF('Juillet'!B12:L12,"102") + COUNTIF('Juin'!O12:P12,"111") + COUNTIF('Juillet'!B6:P6,"111") + COUNTIF('Juillet'!B12:L12,"111") + COUNTIF('Juin'!O12:P12,"112") + COUNTIF('Juillet'!B6:P6,"112") + COUNTIF('Juillet'!B12:L12,"112") + COUNTIF('Juin'!O12:P12,"121") + COUNTIF('Juillet'!B6:P6,"121") + COUNTIF('Juillet'!B12:L12,"121") + COUNTIF('Juin'!O12:P12,"6101") + COUNTIF('Juillet'!B6:P6,"6101") + COUNTIF('Juillet'!B12:L12,"6101") + COUNTIF('Juin'!O12:P12,"6102") + COUNTIF('Juillet'!B6:P6,"6102") + COUNTIF('Juillet'!B12:L12,"6102") + COUNTIF('Juin'!O12:P12,"6111") + COUNTIF('Juillet'!B6:P6,"6111") + COUNTIF('Juillet'!B12:L12,"6111") + COUNTIF('Juin'!O12:P12,"6112") + COUNTIF('Juillet'!B6:P6,"6112") + COUNTIF('Juillet'!B12:L12,"6112") + COUNTIF('Juin'!O12:P12,"6121") + COUNTIF('Juillet'!B6:P6,"6121") + COUNTIF('Juillet'!B12:L12,"6121") + COUNTIF('Juin'!O12:P12,"7101") + COUNTIF('Juillet'!B6:P6,"7101") + COUNTIF('Juillet'!B12:L12,"7101") + COUNTIF('Juin'!O12:P12,"7102") + COUNTIF('Juillet'!B6:P6,"7102") + COUNTIF('Juillet'!B12:L12,"7102") + COUNTIF('Juin'!O12:P12,"7111") + COUNTIF('Juillet'!B6:P6,"7111") + COUNTIF('Juillet'!B12:L12,"7111") + COUNTIF('Juin'!O12:P12,"7112") + COUNTIF('Juillet'!B6:P6,"7112") + COUNTIF('Juillet'!B12:L12,"7112") + COUNTIF('Juin'!O12:P12,"7121") + COUNTIF('Juillet'!B6:P6,"7121") + COUNTIF('Juillet'!B12:L12,"7121") + COUNTIF('Juin'!O12:P12,"X_AM") + COUNTIF('Juillet'!B6:P6,"X_AM") + COUNTIF('Juillet'!B12:L12,"X_AM") + COUNTIF('Juin'!O12:P12,"X_PM") + COUNTIF('Juillet'!B6:P6,"X_PM") + COUNTIF('Juillet'!B12:L12,"X_PM") + COUNTIF('Juin'!O12:P12,"X_10") + COUNTIF('Juillet'!B6:P6,"X_10") + COUNTIF('Juillet'!B12:L12,"X_10") + COUNTIF('Juin'!O12:P12,"AG") + COUNTIF('Juillet'!B6:P6,"AG") + COUNTIF('Juillet'!B12:L12,"AG") + COUNTIF('Juin'!O12:P12,"CN") + COUNTIF('Juillet'!B6:P6,"CN") + COUNTIF('Juillet'!B12:L12,"CN") + COUNTIF('Juin'!O12:P12,"JC") + COUNTIF('Juillet'!B6:P6,"JC") + COUNTIF('Juillet'!B12:L12,"JC") + COUNTIF('Juin'!O12:P12,"RR") + COUNTIF('Juillet'!B6:P6,"RR") + COUNTIF('Juillet'!B12:L12,"RR") + COUNTIF('Juin'!O12:P12,"ZM") + COUNTIF('Juillet'!B6:P6,"ZM") + COUNTIF('Juillet'!B12:L12,"ZM") + COUNTIF('Juin'!O12:P12,"CV") + COUNTIF('Juillet'!B6:P6,"CV") + COUNTIF('Juillet'!B12:L12,"CV"))*8</f>
        <v/>
      </c>
      <c r="C56" s="105">
        <f>COUNTIF('Juin'!O12:P12,"CH")+COUNTIF('Juillet'!B6:P6,"CH")+COUNTIF('Juillet'!B12:L12,"CH")</f>
        <v/>
      </c>
      <c r="D56" s="105">
        <f>COUNTIF('Juin'!O12:P12,"RH")+COUNTIF('Juillet'!B6:P6,"RH")+COUNTIF('Juillet'!B12:L12,"RH")</f>
        <v/>
      </c>
      <c r="E56" s="105">
        <f>COUNTIF('Juin'!O12:P12,"CV")+COUNTIF('Juillet'!B6:P6,"CV")+COUNTIF('Juillet'!B12:L12,"CV")</f>
        <v/>
      </c>
      <c r="F56" s="105">
        <f>COUNTIF('Juin'!O12:P12,"RR")+COUNTIF('Juillet'!B6:P6,"RR")+COUNTIF('Juillet'!B12:L12,"RR")</f>
        <v/>
      </c>
      <c r="G56" s="105">
        <f>SUM(COUNTIF('Juillet'!G12,{7101,7102,7111,7112,7121}))</f>
        <v/>
      </c>
      <c r="H56" s="105">
        <f>IF(B56&gt;160,"⚠ &gt;160h",IF(C56&lt;&gt;4,"⚠ CH≠4",IF(D56&lt;&gt;4,"⚠ RH≠4",IF(E56&lt;&gt;1,"⚠ CV≠1",IF(AND(G56&gt;0,F56=0),"⚠ RR manquant","✓ OK")))))</f>
        <v/>
      </c>
      <c r="I56" s="106" t="n"/>
      <c r="J56" s="106" t="n"/>
    </row>
    <row r="57" ht="15" customHeight="1" s="67">
      <c r="A57" s="130" t="n"/>
      <c r="B57" s="130" t="n"/>
      <c r="C57" s="130" t="n"/>
      <c r="D57" s="130" t="n"/>
      <c r="E57" s="106" t="n"/>
      <c r="F57" s="106" t="n"/>
      <c r="G57" s="106" t="n"/>
      <c r="H57" s="106" t="n"/>
      <c r="I57" s="106" t="n"/>
      <c r="J57" s="106" t="n"/>
    </row>
    <row r="58">
      <c r="A58" s="106" t="n"/>
      <c r="B58" s="106" t="n"/>
      <c r="C58" s="106" t="n"/>
      <c r="D58" s="106" t="n"/>
      <c r="E58" s="106" t="n"/>
      <c r="F58" s="106" t="n"/>
      <c r="G58" s="106" t="n"/>
      <c r="H58" s="106" t="n"/>
      <c r="I58" s="106" t="n"/>
      <c r="J58" s="106" t="n"/>
    </row>
    <row r="59">
      <c r="A59" s="106" t="n"/>
      <c r="B59" s="106" t="n"/>
      <c r="C59" s="106" t="n"/>
      <c r="D59" s="106" t="n"/>
      <c r="E59" s="106" t="n"/>
      <c r="F59" s="106" t="n"/>
      <c r="G59" s="106" t="n"/>
      <c r="H59" s="106" t="n"/>
      <c r="I59" s="106" t="n"/>
      <c r="J59" s="106" t="n"/>
    </row>
    <row r="60">
      <c r="A60" s="106" t="n"/>
      <c r="B60" s="106" t="n"/>
      <c r="C60" s="106" t="n"/>
      <c r="D60" s="106" t="n"/>
      <c r="E60" s="106" t="n"/>
      <c r="F60" s="106" t="n"/>
      <c r="G60" s="106" t="n"/>
      <c r="H60" s="106" t="n"/>
      <c r="I60" s="106" t="n"/>
      <c r="J60" s="106" t="n"/>
    </row>
    <row r="61">
      <c r="A61" s="106" t="n"/>
      <c r="B61" s="106" t="n"/>
      <c r="C61" s="106" t="n"/>
      <c r="D61" s="106" t="n"/>
      <c r="E61" s="106" t="n"/>
      <c r="F61" s="106" t="n"/>
      <c r="G61" s="106" t="n"/>
      <c r="H61" s="106" t="n"/>
      <c r="I61" s="106" t="n"/>
      <c r="J61" s="106" t="n"/>
    </row>
    <row r="62">
      <c r="A62" s="106" t="n"/>
      <c r="B62" s="106" t="n"/>
      <c r="C62" s="106" t="n"/>
      <c r="D62" s="106" t="n"/>
      <c r="E62" s="106" t="n"/>
      <c r="F62" s="106" t="n"/>
      <c r="G62" s="106" t="n"/>
      <c r="H62" s="106" t="n"/>
      <c r="I62" s="106" t="n"/>
      <c r="J62" s="106" t="n"/>
    </row>
    <row r="63">
      <c r="A63" s="106" t="n"/>
      <c r="B63" s="106" t="n"/>
      <c r="C63" s="106" t="n"/>
      <c r="D63" s="106" t="n"/>
      <c r="E63" s="106" t="n"/>
      <c r="F63" s="106" t="n"/>
      <c r="G63" s="106" t="n"/>
      <c r="H63" s="106" t="n"/>
      <c r="I63" s="106" t="n"/>
      <c r="J63" s="106" t="n"/>
    </row>
    <row r="64">
      <c r="A64" s="106" t="n"/>
      <c r="B64" s="106" t="n"/>
      <c r="C64" s="106" t="n"/>
      <c r="D64" s="106" t="n"/>
      <c r="E64" s="106" t="n"/>
      <c r="F64" s="106" t="n"/>
      <c r="G64" s="106" t="n"/>
      <c r="H64" s="106" t="n"/>
      <c r="I64" s="106" t="n"/>
      <c r="J64" s="106" t="n"/>
    </row>
    <row r="65">
      <c r="A65" s="106" t="n"/>
      <c r="B65" s="106" t="n"/>
      <c r="C65" s="106" t="n"/>
      <c r="D65" s="106" t="n"/>
      <c r="E65" s="106" t="n"/>
      <c r="F65" s="106" t="n"/>
      <c r="G65" s="106" t="n"/>
      <c r="H65" s="106" t="n"/>
      <c r="I65" s="106" t="n"/>
      <c r="J65" s="106" t="n"/>
    </row>
    <row r="66">
      <c r="A66" s="106" t="n"/>
      <c r="B66" s="106" t="n"/>
      <c r="C66" s="106" t="n"/>
      <c r="D66" s="106" t="n"/>
      <c r="E66" s="106" t="n"/>
      <c r="F66" s="106" t="n"/>
      <c r="G66" s="106" t="n"/>
      <c r="H66" s="106" t="n"/>
      <c r="I66" s="106" t="n"/>
      <c r="J66" s="106" t="n"/>
    </row>
    <row r="67">
      <c r="A67" s="106" t="n"/>
      <c r="B67" s="106" t="n"/>
      <c r="C67" s="106" t="n"/>
      <c r="D67" s="106" t="n"/>
      <c r="E67" s="106" t="n"/>
      <c r="F67" s="106" t="n"/>
      <c r="G67" s="106" t="n"/>
      <c r="H67" s="106" t="n"/>
      <c r="I67" s="106" t="n"/>
      <c r="J67" s="106" t="n"/>
    </row>
    <row r="68">
      <c r="A68" s="106" t="n"/>
      <c r="B68" s="106" t="n"/>
      <c r="C68" s="106" t="n"/>
      <c r="D68" s="106" t="n"/>
      <c r="E68" s="106" t="n"/>
      <c r="F68" s="106" t="n"/>
      <c r="G68" s="106" t="n"/>
      <c r="H68" s="106" t="n"/>
      <c r="I68" s="106" t="n"/>
      <c r="J68" s="106" t="n"/>
    </row>
    <row r="69">
      <c r="A69" s="106" t="n"/>
      <c r="B69" s="106" t="n"/>
      <c r="C69" s="106" t="n"/>
      <c r="D69" s="106" t="n"/>
      <c r="E69" s="106" t="n"/>
      <c r="F69" s="106" t="n"/>
      <c r="G69" s="106" t="n"/>
      <c r="H69" s="106" t="n"/>
      <c r="I69" s="106" t="n"/>
      <c r="J69" s="106" t="n"/>
    </row>
    <row r="70">
      <c r="A70" s="106" t="n"/>
      <c r="B70" s="106" t="n"/>
      <c r="C70" s="106" t="n"/>
      <c r="D70" s="106" t="n"/>
      <c r="E70" s="106" t="n"/>
      <c r="F70" s="106" t="n"/>
      <c r="G70" s="106" t="n"/>
      <c r="H70" s="106" t="n"/>
      <c r="I70" s="106" t="n"/>
      <c r="J70" s="106" t="n"/>
    </row>
    <row r="71">
      <c r="A71" s="106" t="n"/>
      <c r="B71" s="106" t="n"/>
      <c r="C71" s="106" t="n"/>
      <c r="D71" s="106" t="n"/>
      <c r="E71" s="106" t="n"/>
      <c r="F71" s="106" t="n"/>
      <c r="G71" s="106" t="n"/>
      <c r="H71" s="106" t="n"/>
      <c r="I71" s="106" t="n"/>
      <c r="J71" s="106" t="n"/>
    </row>
    <row r="72">
      <c r="A72" s="106" t="n"/>
      <c r="B72" s="106" t="n"/>
      <c r="C72" s="106" t="n"/>
      <c r="D72" s="106" t="n"/>
      <c r="E72" s="106" t="n"/>
      <c r="F72" s="106" t="n"/>
      <c r="G72" s="106" t="n"/>
      <c r="H72" s="106" t="n"/>
      <c r="I72" s="106" t="n"/>
      <c r="J72" s="106" t="n"/>
    </row>
    <row r="73">
      <c r="A73" s="106" t="n"/>
      <c r="B73" s="106" t="n"/>
      <c r="C73" s="106" t="n"/>
      <c r="D73" s="106" t="n"/>
      <c r="E73" s="106" t="n"/>
      <c r="F73" s="106" t="n"/>
      <c r="G73" s="106" t="n"/>
      <c r="H73" s="106" t="n"/>
      <c r="I73" s="106" t="n"/>
      <c r="J73" s="106" t="n"/>
    </row>
    <row r="74">
      <c r="A74" s="106" t="n"/>
      <c r="B74" s="106" t="n"/>
      <c r="C74" s="106" t="n"/>
      <c r="D74" s="106" t="n"/>
      <c r="E74" s="106" t="n"/>
      <c r="F74" s="106" t="n"/>
      <c r="G74" s="106" t="n"/>
      <c r="H74" s="106" t="n"/>
      <c r="I74" s="106" t="n"/>
      <c r="J74" s="106" t="n"/>
    </row>
    <row r="75">
      <c r="A75" s="106" t="n"/>
      <c r="B75" s="106" t="n"/>
      <c r="C75" s="106" t="n"/>
      <c r="D75" s="106" t="n"/>
      <c r="E75" s="106" t="n"/>
      <c r="F75" s="106" t="n"/>
      <c r="G75" s="106" t="n"/>
      <c r="H75" s="106" t="n"/>
      <c r="I75" s="106" t="n"/>
      <c r="J75" s="106" t="n"/>
    </row>
    <row r="76">
      <c r="A76" s="106" t="n"/>
      <c r="B76" s="106" t="n"/>
      <c r="C76" s="106" t="n"/>
      <c r="D76" s="106" t="n"/>
      <c r="E76" s="106" t="n"/>
      <c r="F76" s="106" t="n"/>
      <c r="G76" s="106" t="n"/>
      <c r="H76" s="106" t="n"/>
      <c r="I76" s="106" t="n"/>
      <c r="J76" s="106" t="n"/>
    </row>
    <row r="77">
      <c r="A77" s="106" t="n"/>
      <c r="B77" s="106" t="n"/>
      <c r="C77" s="106" t="n"/>
      <c r="D77" s="106" t="n"/>
      <c r="E77" s="106" t="n"/>
      <c r="F77" s="106" t="n"/>
      <c r="G77" s="106" t="n"/>
      <c r="H77" s="106" t="n"/>
      <c r="I77" s="106" t="n"/>
      <c r="J77" s="106" t="n"/>
    </row>
    <row r="78">
      <c r="A78" s="106" t="n"/>
      <c r="B78" s="106" t="n"/>
      <c r="C78" s="106" t="n"/>
      <c r="D78" s="106" t="n"/>
      <c r="E78" s="106" t="n"/>
      <c r="F78" s="106" t="n"/>
      <c r="G78" s="106" t="n"/>
      <c r="H78" s="106" t="n"/>
      <c r="I78" s="106" t="n"/>
      <c r="J78" s="106" t="n"/>
    </row>
    <row r="79">
      <c r="A79" s="106" t="n"/>
      <c r="B79" s="106" t="n"/>
      <c r="C79" s="106" t="n"/>
      <c r="D79" s="106" t="n"/>
      <c r="E79" s="106" t="n"/>
      <c r="F79" s="106" t="n"/>
      <c r="G79" s="106" t="n"/>
      <c r="H79" s="106" t="n"/>
      <c r="I79" s="106" t="n"/>
      <c r="J79" s="106" t="n"/>
    </row>
    <row r="80">
      <c r="A80" s="106" t="n"/>
      <c r="B80" s="106" t="n"/>
      <c r="C80" s="106" t="n"/>
      <c r="D80" s="106" t="n"/>
      <c r="E80" s="106" t="n"/>
      <c r="F80" s="106" t="n"/>
      <c r="G80" s="106" t="n"/>
      <c r="H80" s="106" t="n"/>
      <c r="I80" s="106" t="n"/>
      <c r="J80" s="106" t="n"/>
    </row>
    <row r="81">
      <c r="A81" s="106" t="n"/>
      <c r="B81" s="106" t="n"/>
      <c r="C81" s="106" t="n"/>
      <c r="D81" s="106" t="n"/>
      <c r="E81" s="106" t="n"/>
      <c r="F81" s="106" t="n"/>
      <c r="G81" s="106" t="n"/>
      <c r="H81" s="106" t="n"/>
      <c r="I81" s="106" t="n"/>
      <c r="J81" s="106" t="n"/>
    </row>
    <row r="82">
      <c r="A82" s="106" t="n"/>
      <c r="B82" s="106" t="n"/>
      <c r="C82" s="106" t="n"/>
      <c r="D82" s="106" t="n"/>
      <c r="E82" s="106" t="n"/>
      <c r="F82" s="106" t="n"/>
      <c r="G82" s="106" t="n"/>
      <c r="H82" s="106" t="n"/>
      <c r="I82" s="106" t="n"/>
      <c r="J82" s="106" t="n"/>
    </row>
    <row r="83">
      <c r="A83" s="106" t="n"/>
      <c r="B83" s="106" t="n"/>
      <c r="C83" s="106" t="n"/>
      <c r="D83" s="106" t="n"/>
      <c r="E83" s="106" t="n"/>
      <c r="F83" s="106" t="n"/>
      <c r="G83" s="106" t="n"/>
      <c r="H83" s="106" t="n"/>
      <c r="I83" s="106" t="n"/>
      <c r="J83" s="106" t="n"/>
    </row>
    <row r="84">
      <c r="A84" s="106" t="n"/>
      <c r="B84" s="106" t="n"/>
      <c r="C84" s="106" t="n"/>
      <c r="D84" s="106" t="n"/>
      <c r="E84" s="106" t="n"/>
      <c r="F84" s="106" t="n"/>
      <c r="G84" s="106" t="n"/>
      <c r="H84" s="106" t="n"/>
      <c r="I84" s="106" t="n"/>
      <c r="J84" s="106" t="n"/>
    </row>
    <row r="85">
      <c r="A85" s="106" t="n"/>
      <c r="B85" s="106" t="n"/>
      <c r="C85" s="106" t="n"/>
      <c r="D85" s="106" t="n"/>
      <c r="E85" s="106" t="n"/>
      <c r="F85" s="106" t="n"/>
      <c r="G85" s="106" t="n"/>
      <c r="H85" s="106" t="n"/>
      <c r="I85" s="106" t="n"/>
      <c r="J85" s="106" t="n"/>
    </row>
    <row r="86">
      <c r="A86" s="106" t="n"/>
      <c r="B86" s="106" t="n"/>
      <c r="C86" s="106" t="n"/>
      <c r="D86" s="106" t="n"/>
      <c r="E86" s="106" t="n"/>
      <c r="F86" s="106" t="n"/>
      <c r="G86" s="106" t="n"/>
      <c r="H86" s="106" t="n"/>
      <c r="I86" s="106" t="n"/>
      <c r="J86" s="106" t="n"/>
    </row>
    <row r="87">
      <c r="A87" s="106" t="n"/>
      <c r="B87" s="106" t="n"/>
      <c r="C87" s="106" t="n"/>
      <c r="D87" s="106" t="n"/>
      <c r="E87" s="106" t="n"/>
      <c r="F87" s="106" t="n"/>
      <c r="G87" s="106" t="n"/>
      <c r="H87" s="106" t="n"/>
      <c r="I87" s="106" t="n"/>
      <c r="J87" s="106" t="n"/>
    </row>
    <row r="88">
      <c r="A88" s="106" t="n"/>
      <c r="B88" s="106" t="n"/>
      <c r="C88" s="106" t="n"/>
      <c r="D88" s="106" t="n"/>
      <c r="E88" s="106" t="n"/>
      <c r="F88" s="106" t="n"/>
      <c r="G88" s="106" t="n"/>
      <c r="H88" s="106" t="n"/>
      <c r="I88" s="106" t="n"/>
      <c r="J88" s="106" t="n"/>
    </row>
    <row r="89">
      <c r="A89" s="106" t="n"/>
      <c r="B89" s="106" t="n"/>
      <c r="C89" s="106" t="n"/>
      <c r="D89" s="106" t="n"/>
      <c r="E89" s="106" t="n"/>
      <c r="F89" s="106" t="n"/>
      <c r="G89" s="106" t="n"/>
      <c r="H89" s="106" t="n"/>
      <c r="I89" s="106" t="n"/>
      <c r="J89" s="106" t="n"/>
    </row>
    <row r="90">
      <c r="A90" s="106" t="n"/>
      <c r="B90" s="106" t="n"/>
      <c r="C90" s="106" t="n"/>
      <c r="D90" s="106" t="n"/>
      <c r="E90" s="106" t="n"/>
      <c r="F90" s="106" t="n"/>
      <c r="G90" s="106" t="n"/>
      <c r="H90" s="106" t="n"/>
      <c r="I90" s="106" t="n"/>
      <c r="J90" s="106" t="n"/>
    </row>
    <row r="91">
      <c r="A91" s="106" t="n"/>
      <c r="B91" s="106" t="n"/>
      <c r="C91" s="106" t="n"/>
      <c r="D91" s="106" t="n"/>
      <c r="E91" s="106" t="n"/>
      <c r="F91" s="106" t="n"/>
      <c r="G91" s="106" t="n"/>
      <c r="H91" s="106" t="n"/>
      <c r="I91" s="106" t="n"/>
      <c r="J91" s="106" t="n"/>
    </row>
    <row r="92">
      <c r="A92" s="106" t="n"/>
      <c r="B92" s="106" t="n"/>
      <c r="C92" s="106" t="n"/>
      <c r="D92" s="106" t="n"/>
      <c r="E92" s="106" t="n"/>
      <c r="F92" s="106" t="n"/>
      <c r="G92" s="106" t="n"/>
      <c r="H92" s="106" t="n"/>
      <c r="I92" s="106" t="n"/>
      <c r="J92" s="106" t="n"/>
    </row>
    <row r="93">
      <c r="A93" s="106" t="n"/>
      <c r="B93" s="106" t="n"/>
      <c r="C93" s="106" t="n"/>
      <c r="D93" s="106" t="n"/>
      <c r="E93" s="106" t="n"/>
      <c r="F93" s="106" t="n"/>
      <c r="G93" s="106" t="n"/>
      <c r="H93" s="106" t="n"/>
      <c r="I93" s="106" t="n"/>
      <c r="J93" s="106" t="n"/>
    </row>
    <row r="94">
      <c r="A94" s="106" t="n"/>
      <c r="B94" s="106" t="n"/>
      <c r="C94" s="106" t="n"/>
      <c r="D94" s="106" t="n"/>
      <c r="E94" s="106" t="n"/>
      <c r="F94" s="106" t="n"/>
      <c r="G94" s="106" t="n"/>
      <c r="H94" s="106" t="n"/>
      <c r="I94" s="106" t="n"/>
      <c r="J94" s="106" t="n"/>
    </row>
    <row r="95">
      <c r="A95" s="106" t="n"/>
      <c r="B95" s="106" t="n"/>
      <c r="C95" s="106" t="n"/>
      <c r="D95" s="106" t="n"/>
      <c r="E95" s="106" t="n"/>
      <c r="F95" s="106" t="n"/>
      <c r="G95" s="106" t="n"/>
      <c r="H95" s="106" t="n"/>
      <c r="I95" s="106" t="n"/>
      <c r="J95" s="106" t="n"/>
    </row>
    <row r="96">
      <c r="A96" s="106" t="n"/>
      <c r="B96" s="106" t="n"/>
      <c r="C96" s="106" t="n"/>
      <c r="D96" s="106" t="n"/>
      <c r="E96" s="106" t="n"/>
      <c r="F96" s="106" t="n"/>
      <c r="G96" s="106" t="n"/>
      <c r="H96" s="106" t="n"/>
      <c r="I96" s="106" t="n"/>
      <c r="J96" s="106" t="n"/>
    </row>
    <row r="97">
      <c r="A97" s="106" t="n"/>
      <c r="B97" s="106" t="n"/>
      <c r="C97" s="106" t="n"/>
      <c r="D97" s="106" t="n"/>
      <c r="E97" s="106" t="n"/>
      <c r="F97" s="106" t="n"/>
      <c r="G97" s="106" t="n"/>
      <c r="H97" s="106" t="n"/>
      <c r="I97" s="106" t="n"/>
      <c r="J97" s="106" t="n"/>
    </row>
    <row r="98">
      <c r="A98" s="106" t="n"/>
      <c r="B98" s="106" t="n"/>
      <c r="C98" s="106" t="n"/>
      <c r="D98" s="106" t="n"/>
      <c r="E98" s="106" t="n"/>
      <c r="F98" s="106" t="n"/>
      <c r="G98" s="106" t="n"/>
      <c r="H98" s="106" t="n"/>
      <c r="I98" s="106" t="n"/>
      <c r="J98" s="106" t="n"/>
    </row>
    <row r="99">
      <c r="A99" s="106" t="n"/>
      <c r="B99" s="106" t="n"/>
      <c r="C99" s="106" t="n"/>
      <c r="D99" s="106" t="n"/>
      <c r="E99" s="106" t="n"/>
      <c r="F99" s="106" t="n"/>
      <c r="G99" s="106" t="n"/>
      <c r="H99" s="106" t="n"/>
      <c r="I99" s="106" t="n"/>
      <c r="J99" s="106" t="n"/>
    </row>
    <row r="100">
      <c r="A100" s="106" t="n"/>
      <c r="B100" s="106" t="n"/>
      <c r="C100" s="106" t="n"/>
      <c r="D100" s="106" t="n"/>
      <c r="E100" s="106" t="n"/>
      <c r="F100" s="106" t="n"/>
      <c r="G100" s="106" t="n"/>
      <c r="H100" s="106" t="n"/>
      <c r="I100" s="106" t="n"/>
      <c r="J100" s="106" t="n"/>
    </row>
  </sheetData>
  <mergeCells count="1">
    <mergeCell ref="A1:P1"/>
  </mergeCells>
  <conditionalFormatting sqref="B6:P6 B12:P12">
    <cfRule type="cellIs" rank="0" priority="2" equalAverage="0" operator="equal" aboveAverage="0" dxfId="0" text="" percent="0" bottom="0">
      <formula>101</formula>
    </cfRule>
    <cfRule type="cellIs" rank="0" priority="3" equalAverage="0" operator="equal" aboveAverage="0" dxfId="1" text="" percent="0" bottom="0">
      <formula>102</formula>
    </cfRule>
    <cfRule type="cellIs" rank="0" priority="4" equalAverage="0" operator="equal" aboveAverage="0" dxfId="2" text="" percent="0" bottom="0">
      <formula>111</formula>
    </cfRule>
    <cfRule type="cellIs" rank="0" priority="5" equalAverage="0" operator="equal" aboveAverage="0" dxfId="3" text="" percent="0" bottom="0">
      <formula>112</formula>
    </cfRule>
    <cfRule type="cellIs" rank="0" priority="6" equalAverage="0" operator="equal" aboveAverage="0" dxfId="4" text="" percent="0" bottom="0">
      <formula>121</formula>
    </cfRule>
    <cfRule type="cellIs" rank="0" priority="7" equalAverage="0" operator="equal" aboveAverage="0" dxfId="0" text="" percent="0" bottom="0">
      <formula>6101</formula>
    </cfRule>
    <cfRule type="cellIs" rank="0" priority="8" equalAverage="0" operator="equal" aboveAverage="0" dxfId="1" text="" percent="0" bottom="0">
      <formula>6102</formula>
    </cfRule>
    <cfRule type="cellIs" rank="0" priority="9" equalAverage="0" operator="equal" aboveAverage="0" dxfId="2" text="" percent="0" bottom="0">
      <formula>6111</formula>
    </cfRule>
    <cfRule type="cellIs" rank="0" priority="10" equalAverage="0" operator="equal" aboveAverage="0" dxfId="3" text="" percent="0" bottom="0">
      <formula>6112</formula>
    </cfRule>
    <cfRule type="cellIs" rank="0" priority="11" equalAverage="0" operator="equal" aboveAverage="0" dxfId="4" text="" percent="0" bottom="0">
      <formula>6121</formula>
    </cfRule>
    <cfRule type="cellIs" rank="0" priority="12" equalAverage="0" operator="equal" aboveAverage="0" dxfId="0" text="" percent="0" bottom="0">
      <formula>7101</formula>
    </cfRule>
    <cfRule type="cellIs" rank="0" priority="13" equalAverage="0" operator="equal" aboveAverage="0" dxfId="1" text="" percent="0" bottom="0">
      <formula>7102</formula>
    </cfRule>
    <cfRule type="cellIs" rank="0" priority="14" equalAverage="0" operator="equal" aboveAverage="0" dxfId="2" text="" percent="0" bottom="0">
      <formula>7111</formula>
    </cfRule>
    <cfRule type="cellIs" rank="0" priority="15" equalAverage="0" operator="equal" aboveAverage="0" dxfId="3" text="" percent="0" bottom="0">
      <formula>7112</formula>
    </cfRule>
    <cfRule type="cellIs" rank="0" priority="16" equalAverage="0" operator="equal" aboveAverage="0" dxfId="4" text="" percent="0" bottom="0">
      <formula>7121</formula>
    </cfRule>
    <cfRule type="cellIs" rank="0" priority="17" equalAverage="0" operator="equal" aboveAverage="0" dxfId="5" text="" percent="0" bottom="0">
      <formula>"X_AM"</formula>
    </cfRule>
    <cfRule type="cellIs" rank="0" priority="18" equalAverage="0" operator="equal" aboveAverage="0" dxfId="5" text="" percent="0" bottom="0">
      <formula>"X_PM"</formula>
    </cfRule>
    <cfRule type="cellIs" rank="0" priority="19" equalAverage="0" operator="equal" aboveAverage="0" dxfId="6" text="" percent="0" bottom="0">
      <formula>"X_10"</formula>
    </cfRule>
    <cfRule type="cellIs" rank="0" priority="20" equalAverage="0" operator="equal" aboveAverage="0" dxfId="7" text="" percent="0" bottom="0">
      <formula>"CN"</formula>
    </cfRule>
    <cfRule type="cellIs" rank="0" priority="21" equalAverage="0" operator="equal" aboveAverage="0" dxfId="7" text="" percent="0" bottom="0">
      <formula>"JC"</formula>
    </cfRule>
    <cfRule type="cellIs" rank="0" priority="22" equalAverage="0" operator="equal" aboveAverage="0" dxfId="8" text="" percent="0" bottom="0">
      <formula>"RH"</formula>
    </cfRule>
    <cfRule type="cellIs" rank="0" priority="23" equalAverage="0" operator="equal" aboveAverage="0" dxfId="9" text="" percent="0" bottom="0">
      <formula>"CH"</formula>
    </cfRule>
    <cfRule type="cellIs" rank="0" priority="24" equalAverage="0" operator="equal" aboveAverage="0" dxfId="10" text="" percent="0" bottom="0">
      <formula>"RR"</formula>
    </cfRule>
    <cfRule type="cellIs" rank="0" priority="25" equalAverage="0" operator="equal" aboveAverage="0" dxfId="11" text="" percent="0" bottom="0">
      <formula>"ZM"</formula>
    </cfRule>
  </conditionalFormatting>
  <conditionalFormatting sqref="B56 B57">
    <cfRule type="cellIs" rank="0" priority="26" equalAverage="0" operator="greaterThan" aboveAverage="0" dxfId="12" text="" percent="0" bottom="0">
      <formula>160</formula>
    </cfRule>
  </conditionalFormatting>
  <conditionalFormatting sqref="B6:Q6">
    <cfRule type="cellIs" priority="26" operator="equal" dxfId="13">
      <formula>"CV"</formula>
    </cfRule>
    <cfRule type="cellIs" priority="27" operator="equal" dxfId="14">
      <formula>"AG"</formula>
    </cfRule>
  </conditionalFormatting>
  <conditionalFormatting sqref="B12:Q12">
    <cfRule type="cellIs" priority="28" operator="equal" dxfId="13">
      <formula>"CV"</formula>
    </cfRule>
    <cfRule type="cellIs" priority="29" operator="equal" dxfId="14">
      <formula>"AG"</formula>
    </cfRule>
  </conditionalFormatting>
  <conditionalFormatting sqref="B55">
    <cfRule type="cellIs" priority="30" operator="greaterThan" dxfId="15">
      <formula>160</formula>
    </cfRule>
  </conditionalFormatting>
  <conditionalFormatting sqref="C55">
    <cfRule type="cellIs" priority="31" operator="notEqual" dxfId="16">
      <formula>4</formula>
    </cfRule>
  </conditionalFormatting>
  <conditionalFormatting sqref="D55">
    <cfRule type="cellIs" priority="32" operator="notEqual" dxfId="16">
      <formula>4</formula>
    </cfRule>
  </conditionalFormatting>
  <conditionalFormatting sqref="E55">
    <cfRule type="cellIs" priority="33" operator="notEqual" dxfId="16">
      <formula>1</formula>
    </cfRule>
  </conditionalFormatting>
  <conditionalFormatting sqref="H55">
    <cfRule type="cellIs" priority="34" operator="equal" dxfId="17">
      <formula>"✓ OK"</formula>
    </cfRule>
    <cfRule type="cellIs" priority="35" operator="notEqual" dxfId="15">
      <formula>"✓ OK"</formula>
    </cfRule>
  </conditionalFormatting>
  <conditionalFormatting sqref="B56">
    <cfRule type="cellIs" priority="36" operator="greaterThan" dxfId="15">
      <formula>160</formula>
    </cfRule>
  </conditionalFormatting>
  <conditionalFormatting sqref="C56">
    <cfRule type="cellIs" priority="37" operator="notEqual" dxfId="16">
      <formula>4</formula>
    </cfRule>
  </conditionalFormatting>
  <conditionalFormatting sqref="D56">
    <cfRule type="cellIs" priority="38" operator="notEqual" dxfId="16">
      <formula>4</formula>
    </cfRule>
  </conditionalFormatting>
  <conditionalFormatting sqref="E56">
    <cfRule type="cellIs" priority="39" operator="notEqual" dxfId="16">
      <formula>1</formula>
    </cfRule>
  </conditionalFormatting>
  <conditionalFormatting sqref="H56">
    <cfRule type="cellIs" priority="40" operator="equal" dxfId="17">
      <formula>"✓ OK"</formula>
    </cfRule>
    <cfRule type="cellIs" priority="41" operator="notEqual" dxfId="15">
      <formula>"✓ OK"</formula>
    </cfRule>
  </conditionalFormatting>
  <dataValidations count="1">
    <dataValidation sqref="B6:Q6 B12:Q12" showDropDown="0" showInputMessage="0" showErrorMessage="0" allowBlank="1" type="list">
      <formula1>"101,102,111,112,121,6101,6102,6111,6112,6121,7101,7102,7111,7112,7121,X_AM,X_PM,X_10,AG,CN,JC,RH,CH,RR,CV,ZM"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Q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L48:L49 A1"/>
    </sheetView>
  </sheetViews>
  <sheetFormatPr baseColWidth="8" defaultColWidth="8.6796875" defaultRowHeight="15" customHeight="0" zeroHeight="0" outlineLevelRow="0"/>
  <cols>
    <col width="45" customWidth="1" style="66" min="1" max="1"/>
    <col width="10" customWidth="1" style="66" min="2" max="17"/>
  </cols>
  <sheetData>
    <row r="1" ht="24.75" customHeight="1" s="67">
      <c r="A1" s="107" t="inlineStr">
        <is>
          <t>JUILLET 2026</t>
        </is>
      </c>
      <c r="Q1" s="69" t="n"/>
    </row>
    <row r="2" ht="15" customHeight="1" s="67">
      <c r="A2" s="69" t="n"/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</row>
    <row r="3" ht="15" customHeight="1" s="67">
      <c r="A3" s="108" t="inlineStr">
        <is>
          <t>Jours 1-15</t>
        </is>
      </c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</row>
    <row r="4" ht="18" customHeight="1" s="67">
      <c r="A4" s="76" t="inlineStr">
        <is>
          <t>Jour</t>
        </is>
      </c>
      <c r="B4" s="110" t="n">
        <v>1</v>
      </c>
      <c r="C4" s="110" t="n">
        <v>2</v>
      </c>
      <c r="D4" s="110" t="n">
        <v>3</v>
      </c>
      <c r="E4" s="111" t="n">
        <v>4</v>
      </c>
      <c r="F4" s="111" t="n">
        <v>5</v>
      </c>
      <c r="G4" s="110" t="n">
        <v>6</v>
      </c>
      <c r="H4" s="110" t="n">
        <v>7</v>
      </c>
      <c r="I4" s="110" t="n">
        <v>8</v>
      </c>
      <c r="J4" s="110" t="n">
        <v>9</v>
      </c>
      <c r="K4" s="110" t="n">
        <v>10</v>
      </c>
      <c r="L4" s="111" t="n">
        <v>11</v>
      </c>
      <c r="M4" s="111" t="n">
        <v>12</v>
      </c>
      <c r="N4" s="110" t="n">
        <v>13</v>
      </c>
      <c r="O4" s="110" t="n">
        <v>14</v>
      </c>
      <c r="P4" s="110" t="n">
        <v>15</v>
      </c>
      <c r="Q4" s="69" t="n"/>
    </row>
    <row r="5" ht="18" customHeight="1" s="67">
      <c r="A5" s="76" t="inlineStr">
        <is>
          <t>J.sem</t>
        </is>
      </c>
      <c r="B5" s="110" t="inlineStr">
        <is>
          <t>M</t>
        </is>
      </c>
      <c r="C5" s="110" t="inlineStr">
        <is>
          <t>J</t>
        </is>
      </c>
      <c r="D5" s="110" t="inlineStr">
        <is>
          <t>V</t>
        </is>
      </c>
      <c r="E5" s="111" t="inlineStr">
        <is>
          <t>S</t>
        </is>
      </c>
      <c r="F5" s="111" t="inlineStr">
        <is>
          <t>D</t>
        </is>
      </c>
      <c r="G5" s="110" t="inlineStr">
        <is>
          <t>L</t>
        </is>
      </c>
      <c r="H5" s="110" t="inlineStr">
        <is>
          <t>M</t>
        </is>
      </c>
      <c r="I5" s="110" t="inlineStr">
        <is>
          <t>M</t>
        </is>
      </c>
      <c r="J5" s="110" t="inlineStr">
        <is>
          <t>J</t>
        </is>
      </c>
      <c r="K5" s="110" t="inlineStr">
        <is>
          <t>V</t>
        </is>
      </c>
      <c r="L5" s="111" t="inlineStr">
        <is>
          <t>S</t>
        </is>
      </c>
      <c r="M5" s="111" t="inlineStr">
        <is>
          <t>D</t>
        </is>
      </c>
      <c r="N5" s="110" t="inlineStr">
        <is>
          <t>L</t>
        </is>
      </c>
      <c r="O5" s="110" t="inlineStr">
        <is>
          <t>M</t>
        </is>
      </c>
      <c r="P5" s="110" t="inlineStr">
        <is>
          <t>M</t>
        </is>
      </c>
      <c r="Q5" s="69" t="n"/>
    </row>
    <row r="6" ht="24.75" customHeight="1" s="67">
      <c r="A6" s="76" t="inlineStr">
        <is>
          <t>Code</t>
        </is>
      </c>
      <c r="B6" s="114" t="n"/>
      <c r="C6" s="114" t="n"/>
      <c r="D6" s="114" t="n"/>
      <c r="E6" s="114" t="n"/>
      <c r="F6" s="114" t="n"/>
      <c r="G6" s="114" t="n"/>
      <c r="H6" s="114" t="n"/>
      <c r="I6" s="114" t="n"/>
      <c r="J6" s="114" t="n"/>
      <c r="K6" s="114" t="n"/>
      <c r="L6" s="114" t="n"/>
      <c r="M6" s="114" t="n"/>
      <c r="N6" s="114" t="n"/>
      <c r="O6" s="114" t="n"/>
      <c r="P6" s="114" t="n"/>
      <c r="Q6" s="69" t="n"/>
    </row>
    <row r="7" ht="15" customHeight="1" s="67">
      <c r="A7" s="76" t="inlineStr">
        <is>
          <t>Période</t>
        </is>
      </c>
      <c r="B7" s="118" t="inlineStr">
        <is>
          <t>P7</t>
        </is>
      </c>
      <c r="C7" s="118" t="inlineStr">
        <is>
          <t>P7</t>
        </is>
      </c>
      <c r="D7" s="118" t="inlineStr">
        <is>
          <t>P7</t>
        </is>
      </c>
      <c r="E7" s="118" t="inlineStr">
        <is>
          <t>P7</t>
        </is>
      </c>
      <c r="F7" s="118" t="inlineStr">
        <is>
          <t>P7</t>
        </is>
      </c>
      <c r="G7" s="118" t="inlineStr">
        <is>
          <t>P7</t>
        </is>
      </c>
      <c r="H7" s="118" t="inlineStr">
        <is>
          <t>P7</t>
        </is>
      </c>
      <c r="I7" s="118" t="inlineStr">
        <is>
          <t>P7</t>
        </is>
      </c>
      <c r="J7" s="118" t="inlineStr">
        <is>
          <t>P7</t>
        </is>
      </c>
      <c r="K7" s="118" t="inlineStr">
        <is>
          <t>P7</t>
        </is>
      </c>
      <c r="L7" s="118" t="inlineStr">
        <is>
          <t>P7</t>
        </is>
      </c>
      <c r="M7" s="118" t="inlineStr">
        <is>
          <t>P7</t>
        </is>
      </c>
      <c r="N7" s="118" t="inlineStr">
        <is>
          <t>P7</t>
        </is>
      </c>
      <c r="O7" s="118" t="inlineStr">
        <is>
          <t>P7</t>
        </is>
      </c>
      <c r="P7" s="118" t="inlineStr">
        <is>
          <t>P7</t>
        </is>
      </c>
      <c r="Q7" s="69" t="n"/>
    </row>
    <row r="8" ht="15" customHeight="1" s="67">
      <c r="A8" s="69" t="n"/>
      <c r="B8" s="69" t="n"/>
      <c r="C8" s="69" t="n"/>
      <c r="D8" s="69" t="n"/>
      <c r="E8" s="69" t="n"/>
      <c r="F8" s="69" t="n"/>
      <c r="G8" s="69" t="n"/>
      <c r="H8" s="69" t="n"/>
      <c r="I8" s="69" t="n"/>
      <c r="J8" s="69" t="n"/>
      <c r="K8" s="69" t="n"/>
      <c r="L8" s="69" t="n"/>
      <c r="M8" s="69" t="n"/>
      <c r="N8" s="69" t="n"/>
      <c r="O8" s="69" t="n"/>
      <c r="P8" s="69" t="n"/>
      <c r="Q8" s="69" t="n"/>
    </row>
    <row r="9" ht="15" customHeight="1" s="67">
      <c r="A9" s="108" t="inlineStr">
        <is>
          <t>Jours 16-31</t>
        </is>
      </c>
      <c r="B9" s="69" t="n"/>
      <c r="C9" s="69" t="n"/>
      <c r="D9" s="69" t="n"/>
      <c r="E9" s="69" t="n"/>
      <c r="F9" s="69" t="n"/>
      <c r="G9" s="69" t="n"/>
      <c r="H9" s="69" t="n"/>
      <c r="I9" s="69" t="n"/>
      <c r="J9" s="69" t="n"/>
      <c r="K9" s="69" t="n"/>
      <c r="L9" s="69" t="n"/>
      <c r="M9" s="69" t="n"/>
      <c r="N9" s="69" t="n"/>
      <c r="O9" s="69" t="n"/>
      <c r="P9" s="69" t="n"/>
      <c r="Q9" s="69" t="n"/>
    </row>
    <row r="10" ht="18" customHeight="1" s="67">
      <c r="A10" s="76" t="inlineStr">
        <is>
          <t>Jour</t>
        </is>
      </c>
      <c r="B10" s="110" t="n">
        <v>16</v>
      </c>
      <c r="C10" s="110" t="n">
        <v>17</v>
      </c>
      <c r="D10" s="111" t="n">
        <v>18</v>
      </c>
      <c r="E10" s="111" t="n">
        <v>19</v>
      </c>
      <c r="F10" s="110" t="n">
        <v>20</v>
      </c>
      <c r="G10" s="109" t="n">
        <v>21</v>
      </c>
      <c r="H10" s="110" t="n">
        <v>22</v>
      </c>
      <c r="I10" s="110" t="n">
        <v>23</v>
      </c>
      <c r="J10" s="110" t="n">
        <v>24</v>
      </c>
      <c r="K10" s="111" t="n">
        <v>25</v>
      </c>
      <c r="L10" s="112" t="n">
        <v>26</v>
      </c>
      <c r="M10" s="112" t="n">
        <v>27</v>
      </c>
      <c r="N10" s="110" t="n">
        <v>28</v>
      </c>
      <c r="O10" s="119" t="n">
        <v>29</v>
      </c>
      <c r="P10" s="119" t="n">
        <v>30</v>
      </c>
      <c r="Q10" s="119" t="n">
        <v>31</v>
      </c>
    </row>
    <row r="11" ht="18" customHeight="1" s="67">
      <c r="A11" s="76" t="inlineStr">
        <is>
          <t>J.sem</t>
        </is>
      </c>
      <c r="B11" s="110" t="inlineStr">
        <is>
          <t>J</t>
        </is>
      </c>
      <c r="C11" s="110" t="inlineStr">
        <is>
          <t>V</t>
        </is>
      </c>
      <c r="D11" s="111" t="inlineStr">
        <is>
          <t>S</t>
        </is>
      </c>
      <c r="E11" s="111" t="inlineStr">
        <is>
          <t>D</t>
        </is>
      </c>
      <c r="F11" s="110" t="inlineStr">
        <is>
          <t>L</t>
        </is>
      </c>
      <c r="G11" s="113" t="inlineStr">
        <is>
          <t>M</t>
        </is>
      </c>
      <c r="H11" s="110" t="inlineStr">
        <is>
          <t>M</t>
        </is>
      </c>
      <c r="I11" s="110" t="inlineStr">
        <is>
          <t>J</t>
        </is>
      </c>
      <c r="J11" s="110" t="inlineStr">
        <is>
          <t>V</t>
        </is>
      </c>
      <c r="K11" s="111" t="inlineStr">
        <is>
          <t>S</t>
        </is>
      </c>
      <c r="L11" s="112" t="inlineStr">
        <is>
          <t>D</t>
        </is>
      </c>
      <c r="M11" s="112" t="inlineStr">
        <is>
          <t>L</t>
        </is>
      </c>
      <c r="N11" s="110" t="inlineStr">
        <is>
          <t>M</t>
        </is>
      </c>
      <c r="O11" s="119" t="inlineStr">
        <is>
          <t>M</t>
        </is>
      </c>
      <c r="P11" s="119" t="inlineStr">
        <is>
          <t>J</t>
        </is>
      </c>
      <c r="Q11" s="119" t="inlineStr">
        <is>
          <t>V</t>
        </is>
      </c>
    </row>
    <row r="12" ht="24.75" customHeight="1" s="67">
      <c r="A12" s="76" t="inlineStr">
        <is>
          <t>Code</t>
        </is>
      </c>
      <c r="B12" s="114" t="n"/>
      <c r="C12" s="114" t="n"/>
      <c r="D12" s="114" t="n"/>
      <c r="E12" s="114" t="n"/>
      <c r="F12" s="114" t="n"/>
      <c r="G12" s="114" t="n"/>
      <c r="H12" s="114" t="n"/>
      <c r="I12" s="114" t="n"/>
      <c r="J12" s="114" t="n"/>
      <c r="K12" s="114" t="n"/>
      <c r="L12" s="139" t="n"/>
      <c r="M12" s="115" t="n"/>
      <c r="N12" s="114" t="n"/>
      <c r="O12" s="114" t="n"/>
      <c r="P12" s="114" t="n"/>
      <c r="Q12" s="114" t="n"/>
    </row>
    <row r="13" ht="15" customHeight="1" s="67">
      <c r="A13" s="76" t="inlineStr">
        <is>
          <t>Période</t>
        </is>
      </c>
      <c r="B13" s="118" t="inlineStr">
        <is>
          <t>P7</t>
        </is>
      </c>
      <c r="C13" s="118" t="inlineStr">
        <is>
          <t>P7</t>
        </is>
      </c>
      <c r="D13" s="118" t="inlineStr">
        <is>
          <t>P7</t>
        </is>
      </c>
      <c r="E13" s="118" t="inlineStr">
        <is>
          <t>P7</t>
        </is>
      </c>
      <c r="F13" s="118" t="inlineStr">
        <is>
          <t>P7</t>
        </is>
      </c>
      <c r="G13" s="118" t="inlineStr">
        <is>
          <t>P7</t>
        </is>
      </c>
      <c r="H13" s="118" t="inlineStr">
        <is>
          <t>P7</t>
        </is>
      </c>
      <c r="I13" s="118" t="inlineStr">
        <is>
          <t>P7</t>
        </is>
      </c>
      <c r="J13" s="118" t="inlineStr">
        <is>
          <t>P7</t>
        </is>
      </c>
      <c r="K13" s="118" t="inlineStr">
        <is>
          <t>P7</t>
        </is>
      </c>
      <c r="L13" s="117" t="inlineStr">
        <is>
          <t>P7</t>
        </is>
      </c>
      <c r="M13" s="117" t="inlineStr">
        <is>
          <t>P8</t>
        </is>
      </c>
      <c r="N13" s="118" t="inlineStr">
        <is>
          <t>P8</t>
        </is>
      </c>
      <c r="O13" s="118" t="inlineStr">
        <is>
          <t>P8</t>
        </is>
      </c>
      <c r="P13" s="118" t="inlineStr">
        <is>
          <t>P8</t>
        </is>
      </c>
      <c r="Q13" s="118" t="inlineStr">
        <is>
          <t>P8</t>
        </is>
      </c>
    </row>
    <row r="16" ht="15" customHeight="1" s="67">
      <c r="A16" s="104" t="inlineStr">
        <is>
          <t>Prestations</t>
        </is>
      </c>
      <c r="B16" s="104" t="inlineStr">
        <is>
          <t>Jours</t>
        </is>
      </c>
      <c r="C16" s="104" t="inlineStr">
        <is>
          <t>H. Totales</t>
        </is>
      </c>
      <c r="D16" s="104" t="inlineStr">
        <is>
          <t>H. Nuit</t>
        </is>
      </c>
      <c r="E16" s="104" t="inlineStr">
        <is>
          <t>Couleur</t>
        </is>
      </c>
      <c r="F16" s="106" t="n"/>
      <c r="G16" s="106" t="n"/>
      <c r="H16" s="106" t="n"/>
      <c r="I16" s="106" t="n"/>
      <c r="J16" s="106" t="n"/>
    </row>
    <row r="17">
      <c r="A17" s="105" t="inlineStr">
        <is>
          <t>101</t>
        </is>
      </c>
      <c r="B17" s="105">
        <f>COUNTIF(B6:P6,"101")+COUNTIF(B12:R12,"101")</f>
        <v/>
      </c>
      <c r="C17" s="105">
        <f>B17*8</f>
        <v/>
      </c>
      <c r="D17" s="105">
        <f>B17*2</f>
        <v/>
      </c>
      <c r="E17" s="121" t="n"/>
      <c r="F17" s="106" t="n"/>
      <c r="G17" s="106" t="n"/>
      <c r="H17" s="106" t="n"/>
      <c r="I17" s="106" t="n"/>
      <c r="J17" s="106" t="n"/>
    </row>
    <row r="18" ht="15" customHeight="1" s="67">
      <c r="A18" s="105" t="inlineStr">
        <is>
          <t>102</t>
        </is>
      </c>
      <c r="B18" s="105">
        <f>COUNTIF(B6:P6,"102")+COUNTIF(B12:R12,"102")</f>
        <v/>
      </c>
      <c r="C18" s="105">
        <f>B18*8</f>
        <v/>
      </c>
      <c r="D18" s="105">
        <f>B18*2</f>
        <v/>
      </c>
      <c r="E18" s="122" t="n"/>
      <c r="F18" s="106" t="n"/>
      <c r="G18" s="106" t="n"/>
      <c r="H18" s="106" t="n"/>
      <c r="I18" s="106" t="n"/>
      <c r="J18" s="106" t="n"/>
    </row>
    <row r="19" ht="15" customHeight="1" s="67">
      <c r="A19" s="105" t="inlineStr">
        <is>
          <t>111</t>
        </is>
      </c>
      <c r="B19" s="105">
        <f>COUNTIF(B6:P6,"111")+COUNTIF(B12:R12,"111")</f>
        <v/>
      </c>
      <c r="C19" s="105">
        <f>B19*8</f>
        <v/>
      </c>
      <c r="D19" s="105">
        <f>B19*2</f>
        <v/>
      </c>
      <c r="E19" s="123" t="n"/>
      <c r="F19" s="106" t="n"/>
      <c r="G19" s="106" t="n"/>
      <c r="H19" s="106" t="n"/>
      <c r="I19" s="106" t="n"/>
      <c r="J19" s="106" t="n"/>
    </row>
    <row r="20" ht="15" customHeight="1" s="67">
      <c r="A20" s="105" t="inlineStr">
        <is>
          <t>112</t>
        </is>
      </c>
      <c r="B20" s="105">
        <f>COUNTIF(B6:P6,"112")+COUNTIF(B12:R12,"112")</f>
        <v/>
      </c>
      <c r="C20" s="105">
        <f>B20*8</f>
        <v/>
      </c>
      <c r="D20" s="105">
        <f>B20*2</f>
        <v/>
      </c>
      <c r="E20" s="124" t="n"/>
      <c r="F20" s="106" t="n"/>
      <c r="G20" s="106" t="n"/>
      <c r="H20" s="106" t="n"/>
      <c r="I20" s="106" t="n"/>
      <c r="J20" s="106" t="n"/>
    </row>
    <row r="21" ht="15" customHeight="1" s="67">
      <c r="A21" s="105" t="inlineStr">
        <is>
          <t>121</t>
        </is>
      </c>
      <c r="B21" s="105">
        <f>COUNTIF(B6:P6,"121")+COUNTIF(B12:R12,"121")</f>
        <v/>
      </c>
      <c r="C21" s="105">
        <f>B21*8</f>
        <v/>
      </c>
      <c r="D21" s="105">
        <f>B21*8</f>
        <v/>
      </c>
      <c r="E21" s="125" t="n"/>
      <c r="F21" s="106" t="n"/>
      <c r="G21" s="106" t="n"/>
      <c r="H21" s="106" t="n"/>
      <c r="I21" s="106" t="n"/>
      <c r="J21" s="106" t="n"/>
    </row>
    <row r="22" ht="15" customHeight="1" s="67">
      <c r="A22" s="105" t="inlineStr">
        <is>
          <t>6101</t>
        </is>
      </c>
      <c r="B22" s="105">
        <f>COUNTIF(B6:P6,"6101")+COUNTIF(B12:R12,"6101")</f>
        <v/>
      </c>
      <c r="C22" s="105">
        <f>B22*8</f>
        <v/>
      </c>
      <c r="D22" s="105">
        <f>B22*2</f>
        <v/>
      </c>
      <c r="E22" s="121" t="n"/>
      <c r="F22" s="106" t="n"/>
      <c r="G22" s="106" t="n"/>
      <c r="H22" s="106" t="n"/>
      <c r="I22" s="106" t="n"/>
      <c r="J22" s="106" t="n"/>
    </row>
    <row r="23" ht="15" customHeight="1" s="67">
      <c r="A23" s="105" t="inlineStr">
        <is>
          <t>6102</t>
        </is>
      </c>
      <c r="B23" s="105">
        <f>COUNTIF(B6:P6,"6102")+COUNTIF(B12:R12,"6102")</f>
        <v/>
      </c>
      <c r="C23" s="105">
        <f>B23*8</f>
        <v/>
      </c>
      <c r="D23" s="105">
        <f>B23*2</f>
        <v/>
      </c>
      <c r="E23" s="122" t="n"/>
      <c r="F23" s="106" t="n"/>
      <c r="G23" s="106" t="n"/>
      <c r="H23" s="106" t="n"/>
      <c r="I23" s="106" t="n"/>
      <c r="J23" s="106" t="n"/>
    </row>
    <row r="24" ht="15" customHeight="1" s="67">
      <c r="A24" s="105" t="inlineStr">
        <is>
          <t>6111</t>
        </is>
      </c>
      <c r="B24" s="105">
        <f>COUNTIF(B6:P6,"6111")+COUNTIF(B12:R12,"6111")</f>
        <v/>
      </c>
      <c r="C24" s="105">
        <f>B24*8</f>
        <v/>
      </c>
      <c r="D24" s="105">
        <f>B24*2</f>
        <v/>
      </c>
      <c r="E24" s="123" t="n"/>
      <c r="F24" s="106" t="n"/>
      <c r="G24" s="106" t="n"/>
      <c r="H24" s="106" t="n"/>
      <c r="I24" s="106" t="n"/>
      <c r="J24" s="106" t="n"/>
    </row>
    <row r="25" ht="15" customHeight="1" s="67">
      <c r="A25" s="105" t="inlineStr">
        <is>
          <t>6112</t>
        </is>
      </c>
      <c r="B25" s="105">
        <f>COUNTIF(B6:P6,"6112")+COUNTIF(B12:R12,"6112")</f>
        <v/>
      </c>
      <c r="C25" s="105">
        <f>B25*8</f>
        <v/>
      </c>
      <c r="D25" s="105">
        <f>B25*2</f>
        <v/>
      </c>
      <c r="E25" s="124" t="n"/>
      <c r="F25" s="106" t="n"/>
      <c r="G25" s="106" t="n"/>
      <c r="H25" s="106" t="n"/>
      <c r="I25" s="106" t="n"/>
      <c r="J25" s="106" t="n"/>
    </row>
    <row r="26" ht="15" customHeight="1" s="67">
      <c r="A26" s="105" t="inlineStr">
        <is>
          <t>6121</t>
        </is>
      </c>
      <c r="B26" s="105">
        <f>COUNTIF(B6:P6,"6121")+COUNTIF(B12:R12,"6121")</f>
        <v/>
      </c>
      <c r="C26" s="105">
        <f>B26*8</f>
        <v/>
      </c>
      <c r="D26" s="105">
        <f>B26*8</f>
        <v/>
      </c>
      <c r="E26" s="125" t="n"/>
      <c r="F26" s="106" t="n"/>
      <c r="G26" s="106" t="n"/>
      <c r="H26" s="106" t="n"/>
      <c r="I26" s="106" t="n"/>
      <c r="J26" s="106" t="n"/>
    </row>
    <row r="27" ht="15" customHeight="1" s="67">
      <c r="A27" s="105" t="inlineStr">
        <is>
          <t>7101</t>
        </is>
      </c>
      <c r="B27" s="105">
        <f>COUNTIF(B6:P6,"7101")+COUNTIF(B12:R12,"7101")</f>
        <v/>
      </c>
      <c r="C27" s="105">
        <f>B27*8</f>
        <v/>
      </c>
      <c r="D27" s="105">
        <f>B27*2</f>
        <v/>
      </c>
      <c r="E27" s="121" t="n"/>
      <c r="F27" s="106" t="n"/>
      <c r="G27" s="106" t="n"/>
      <c r="H27" s="106" t="n"/>
      <c r="I27" s="106" t="n"/>
      <c r="J27" s="106" t="n"/>
    </row>
    <row r="28" ht="15" customHeight="1" s="67">
      <c r="A28" s="105" t="inlineStr">
        <is>
          <t>7102</t>
        </is>
      </c>
      <c r="B28" s="105">
        <f>COUNTIF(B6:P6,"7102")+COUNTIF(B12:R12,"7102")</f>
        <v/>
      </c>
      <c r="C28" s="105">
        <f>B28*8</f>
        <v/>
      </c>
      <c r="D28" s="105">
        <f>B28*2</f>
        <v/>
      </c>
      <c r="E28" s="122" t="n"/>
      <c r="F28" s="106" t="n"/>
      <c r="G28" s="106" t="n"/>
      <c r="H28" s="106" t="n"/>
      <c r="I28" s="106" t="n"/>
      <c r="J28" s="106" t="n"/>
    </row>
    <row r="29" ht="15" customHeight="1" s="67">
      <c r="A29" s="105" t="inlineStr">
        <is>
          <t>7111</t>
        </is>
      </c>
      <c r="B29" s="105">
        <f>COUNTIF(B6:P6,"7111")+COUNTIF(B12:R12,"7111")</f>
        <v/>
      </c>
      <c r="C29" s="105">
        <f>B29*8</f>
        <v/>
      </c>
      <c r="D29" s="105">
        <f>B29*2</f>
        <v/>
      </c>
      <c r="E29" s="123" t="n"/>
      <c r="F29" s="106" t="n"/>
      <c r="G29" s="106" t="n"/>
      <c r="H29" s="106" t="n"/>
      <c r="I29" s="106" t="n"/>
      <c r="J29" s="106" t="n"/>
    </row>
    <row r="30" ht="15" customHeight="1" s="67">
      <c r="A30" s="105" t="inlineStr">
        <is>
          <t>7112</t>
        </is>
      </c>
      <c r="B30" s="105">
        <f>COUNTIF(B6:P6,"7112")+COUNTIF(B12:R12,"7112")</f>
        <v/>
      </c>
      <c r="C30" s="105">
        <f>B30*8</f>
        <v/>
      </c>
      <c r="D30" s="105">
        <f>B30*2</f>
        <v/>
      </c>
      <c r="E30" s="124" t="n"/>
      <c r="F30" s="106" t="n"/>
      <c r="G30" s="106" t="n"/>
      <c r="H30" s="106" t="n"/>
      <c r="I30" s="106" t="n"/>
      <c r="J30" s="106" t="n"/>
    </row>
    <row r="31" ht="15" customHeight="1" s="67">
      <c r="A31" s="105" t="inlineStr">
        <is>
          <t>7121</t>
        </is>
      </c>
      <c r="B31" s="105">
        <f>COUNTIF(B6:P6,"7121")+COUNTIF(B12:R12,"7121")</f>
        <v/>
      </c>
      <c r="C31" s="105">
        <f>B31*8</f>
        <v/>
      </c>
      <c r="D31" s="105">
        <f>B31*8</f>
        <v/>
      </c>
      <c r="E31" s="125" t="n"/>
      <c r="F31" s="106" t="n"/>
      <c r="G31" s="106" t="n"/>
      <c r="H31" s="106" t="n"/>
      <c r="I31" s="106" t="n"/>
      <c r="J31" s="106" t="n"/>
    </row>
    <row r="32" ht="15" customHeight="1" s="67">
      <c r="A32" s="105" t="inlineStr">
        <is>
          <t>X_AM</t>
        </is>
      </c>
      <c r="B32" s="105">
        <f>COUNTIF(B6:P6,"X_AM")+COUNTIF(B12:R12,"X_AM")</f>
        <v/>
      </c>
      <c r="C32" s="105">
        <f>B32*8</f>
        <v/>
      </c>
      <c r="D32" s="105">
        <f>B32*2</f>
        <v/>
      </c>
      <c r="E32" s="126" t="n"/>
      <c r="F32" s="106" t="n"/>
      <c r="G32" s="106" t="n"/>
      <c r="H32" s="106" t="n"/>
      <c r="I32" s="106" t="n"/>
      <c r="J32" s="106" t="n"/>
    </row>
    <row r="33" ht="15" customHeight="1" s="67">
      <c r="A33" s="105" t="inlineStr">
        <is>
          <t>X_PM</t>
        </is>
      </c>
      <c r="B33" s="105">
        <f>COUNTIF(B6:P6,"X_PM")+COUNTIF(B12:R12,"X_PM")</f>
        <v/>
      </c>
      <c r="C33" s="105">
        <f>B33*8</f>
        <v/>
      </c>
      <c r="D33" s="105">
        <f>B33*2</f>
        <v/>
      </c>
      <c r="E33" s="126" t="n"/>
      <c r="F33" s="106" t="n"/>
      <c r="G33" s="106" t="n"/>
      <c r="H33" s="106" t="n"/>
      <c r="I33" s="106" t="n"/>
      <c r="J33" s="106" t="n"/>
    </row>
    <row r="34" ht="15" customHeight="1" s="67">
      <c r="A34" s="105" t="inlineStr">
        <is>
          <t>X_10</t>
        </is>
      </c>
      <c r="B34" s="105">
        <f>COUNTIF(B6:P6,"X_10")+COUNTIF(B12:R12,"X_10")</f>
        <v/>
      </c>
      <c r="C34" s="105">
        <f>B34*8</f>
        <v/>
      </c>
      <c r="D34" s="105" t="n">
        <v>0</v>
      </c>
      <c r="E34" s="127" t="n"/>
      <c r="F34" s="106" t="n"/>
      <c r="G34" s="106" t="n"/>
      <c r="H34" s="106" t="n"/>
      <c r="I34" s="106" t="n"/>
      <c r="J34" s="106" t="n"/>
    </row>
    <row r="35" ht="15" customHeight="1" s="67">
      <c r="A35" s="105" t="inlineStr">
        <is>
          <t>AG</t>
        </is>
      </c>
      <c r="B35" s="105">
        <f>COUNTIF(B6:P6,"AG")+COUNTIF(B12:R12,"AG")</f>
        <v/>
      </c>
      <c r="C35" s="105">
        <f>B35*8</f>
        <v/>
      </c>
      <c r="D35" s="105" t="n">
        <v>0</v>
      </c>
      <c r="E35" s="128" t="n"/>
      <c r="F35" s="106" t="n"/>
      <c r="G35" s="106" t="n"/>
      <c r="H35" s="106" t="n"/>
      <c r="I35" s="106" t="n"/>
      <c r="J35" s="106" t="n"/>
    </row>
    <row r="36" ht="15" customHeight="1" s="67">
      <c r="A36" s="129" t="inlineStr">
        <is>
          <t>TOTAL</t>
        </is>
      </c>
      <c r="B36" s="129">
        <f>SUM(B17:B35)</f>
        <v/>
      </c>
      <c r="C36" s="129">
        <f>SUM(C17:C35)</f>
        <v/>
      </c>
      <c r="D36" s="129">
        <f>SUM(D17:D35)</f>
        <v/>
      </c>
      <c r="E36" s="129" t="n"/>
      <c r="F36" s="106" t="n"/>
      <c r="G36" s="106" t="n"/>
      <c r="H36" s="106" t="n"/>
      <c r="I36" s="106" t="n"/>
      <c r="J36" s="106" t="n"/>
    </row>
    <row r="37" ht="15" customHeight="1" s="67">
      <c r="A37" s="130" t="n"/>
      <c r="B37" s="130" t="n"/>
      <c r="C37" s="130" t="n"/>
      <c r="D37" s="130" t="n"/>
      <c r="E37" s="130" t="n"/>
      <c r="F37" s="106" t="n"/>
      <c r="G37" s="106" t="n"/>
      <c r="H37" s="106" t="n"/>
      <c r="I37" s="106" t="n"/>
      <c r="J37" s="106" t="n"/>
    </row>
    <row r="38" ht="15" customHeight="1" s="67">
      <c r="A38" s="104" t="inlineStr">
        <is>
          <t>REPOS</t>
        </is>
      </c>
      <c r="B38" s="104" t="inlineStr">
        <is>
          <t>Jours</t>
        </is>
      </c>
      <c r="C38" s="104" t="inlineStr">
        <is>
          <t>H. Totales</t>
        </is>
      </c>
      <c r="D38" s="104" t="inlineStr">
        <is>
          <t>H. Nuit</t>
        </is>
      </c>
      <c r="E38" s="104" t="inlineStr">
        <is>
          <t>Couleur</t>
        </is>
      </c>
      <c r="F38" s="106" t="n"/>
      <c r="G38" s="106" t="n"/>
      <c r="H38" s="106" t="n"/>
      <c r="I38" s="106" t="n"/>
      <c r="J38" s="106" t="n"/>
    </row>
    <row r="39" ht="15" customHeight="1" s="67">
      <c r="A39" s="105" t="inlineStr">
        <is>
          <t>CN</t>
        </is>
      </c>
      <c r="B39" s="105">
        <f>COUNTIF(B6:P6,"CN")+COUNTIF(B12:R12,"CN")</f>
        <v/>
      </c>
      <c r="C39" s="105">
        <f>B39*8</f>
        <v/>
      </c>
      <c r="D39" s="105" t="n">
        <v>0</v>
      </c>
      <c r="E39" s="131" t="n"/>
      <c r="F39" s="106" t="n"/>
      <c r="G39" s="106" t="n"/>
      <c r="H39" s="106" t="n"/>
      <c r="I39" s="106" t="n"/>
      <c r="J39" s="106" t="n"/>
    </row>
    <row r="40" ht="15" customHeight="1" s="67">
      <c r="A40" s="105" t="inlineStr">
        <is>
          <t>JC</t>
        </is>
      </c>
      <c r="B40" s="105">
        <f>COUNTIF(B6:P6,"JC")+COUNTIF(B12:R12,"JC")</f>
        <v/>
      </c>
      <c r="C40" s="105">
        <f>B40*8</f>
        <v/>
      </c>
      <c r="D40" s="105" t="n">
        <v>0</v>
      </c>
      <c r="E40" s="131" t="n"/>
      <c r="F40" s="106" t="n"/>
      <c r="G40" s="106" t="n"/>
      <c r="H40" s="106" t="n"/>
      <c r="I40" s="106" t="n"/>
      <c r="J40" s="106" t="n"/>
    </row>
    <row r="41" ht="15" customHeight="1" s="67">
      <c r="A41" s="105" t="inlineStr">
        <is>
          <t>RH</t>
        </is>
      </c>
      <c r="B41" s="105">
        <f>COUNTIF(B6:P6,"RH")+COUNTIF(B12:R12,"RH")</f>
        <v/>
      </c>
      <c r="C41" s="105" t="n">
        <v>0</v>
      </c>
      <c r="D41" s="105" t="n">
        <v>0</v>
      </c>
      <c r="E41" s="132" t="n"/>
      <c r="F41" s="106" t="n"/>
      <c r="G41" s="106" t="n"/>
      <c r="H41" s="106" t="n"/>
      <c r="I41" s="106" t="n"/>
      <c r="J41" s="106" t="n"/>
    </row>
    <row r="42" ht="15" customHeight="1" s="67">
      <c r="A42" s="105" t="inlineStr">
        <is>
          <t>CH</t>
        </is>
      </c>
      <c r="B42" s="105">
        <f>COUNTIF(B6:P6,"CH")+COUNTIF(B12:R12,"CH")</f>
        <v/>
      </c>
      <c r="C42" s="105" t="n">
        <v>0</v>
      </c>
      <c r="D42" s="105" t="n">
        <v>0</v>
      </c>
      <c r="E42" s="133" t="n"/>
      <c r="F42" s="106" t="n"/>
      <c r="G42" s="106" t="n"/>
      <c r="H42" s="106" t="n"/>
      <c r="I42" s="106" t="n"/>
      <c r="J42" s="106" t="n"/>
    </row>
    <row r="43" ht="15" customHeight="1" s="67">
      <c r="A43" s="105" t="inlineStr">
        <is>
          <t>RR</t>
        </is>
      </c>
      <c r="B43" s="105">
        <f>COUNTIF(B6:P6,"RR")+COUNTIF(B12:R12,"RR")</f>
        <v/>
      </c>
      <c r="C43" s="105">
        <f>B43*8</f>
        <v/>
      </c>
      <c r="D43" s="105" t="n">
        <v>0</v>
      </c>
      <c r="E43" s="134" t="n"/>
      <c r="F43" s="106" t="n"/>
      <c r="G43" s="106" t="n"/>
      <c r="H43" s="106" t="n"/>
      <c r="I43" s="106" t="n"/>
      <c r="J43" s="106" t="n"/>
    </row>
    <row r="44">
      <c r="A44" s="105" t="inlineStr">
        <is>
          <t>CV</t>
        </is>
      </c>
      <c r="B44" s="105">
        <f>COUNTIF(B6:P6,"CV")+COUNTIF(B12:R12,"CV")</f>
        <v/>
      </c>
      <c r="C44" s="105">
        <f>B44*8</f>
        <v/>
      </c>
      <c r="D44" s="105" t="n">
        <v>0</v>
      </c>
      <c r="E44" s="135" t="n"/>
      <c r="F44" s="106" t="n"/>
      <c r="G44" s="106" t="n"/>
      <c r="H44" s="106" t="n"/>
      <c r="I44" s="106" t="n"/>
      <c r="J44" s="106" t="n"/>
    </row>
    <row r="45" ht="15" customHeight="1" s="67">
      <c r="A45" s="105" t="inlineStr">
        <is>
          <t>ZM</t>
        </is>
      </c>
      <c r="B45" s="105">
        <f>COUNTIF(B6:P6,"ZM")+COUNTIF(B12:R12,"ZM")</f>
        <v/>
      </c>
      <c r="C45" s="105">
        <f>B45*8</f>
        <v/>
      </c>
      <c r="D45" s="105" t="n">
        <v>0</v>
      </c>
      <c r="E45" s="136" t="n"/>
      <c r="F45" s="106" t="n"/>
      <c r="G45" s="106" t="n"/>
      <c r="H45" s="106" t="n"/>
      <c r="I45" s="106" t="n"/>
      <c r="J45" s="106" t="n"/>
    </row>
    <row r="46">
      <c r="A46" s="129" t="inlineStr">
        <is>
          <t>TOTAL</t>
        </is>
      </c>
      <c r="B46" s="129">
        <f>SUM(B39:B45)</f>
        <v/>
      </c>
      <c r="C46" s="129">
        <f>SUM(C39:C45)</f>
        <v/>
      </c>
      <c r="D46" s="129">
        <f>SUM(D39:D45)</f>
        <v/>
      </c>
      <c r="E46" s="129" t="n"/>
      <c r="F46" s="106" t="n"/>
      <c r="G46" s="106" t="n"/>
      <c r="H46" s="106" t="n"/>
      <c r="I46" s="106" t="n"/>
      <c r="J46" s="106" t="n"/>
    </row>
    <row r="47" ht="15" customHeight="1" s="67">
      <c r="A47" s="130" t="n"/>
      <c r="B47" s="130" t="n"/>
      <c r="C47" s="130" t="n"/>
      <c r="D47" s="130" t="n"/>
      <c r="E47" s="106" t="n"/>
      <c r="F47" s="106" t="n"/>
      <c r="G47" s="106" t="n"/>
      <c r="H47" s="106" t="n"/>
      <c r="I47" s="106" t="n"/>
      <c r="J47" s="106" t="n"/>
    </row>
    <row r="48" ht="15" customHeight="1" s="67">
      <c r="A48" s="137" t="inlineStr">
        <is>
          <t>Total Heures</t>
        </is>
      </c>
      <c r="B48" s="130" t="n"/>
      <c r="C48" s="137">
        <f>C36+C46</f>
        <v/>
      </c>
      <c r="D48" s="130" t="n"/>
      <c r="E48" s="106" t="n"/>
      <c r="F48" s="106" t="n"/>
      <c r="G48" s="106" t="n"/>
      <c r="H48" s="106" t="n"/>
      <c r="I48" s="106" t="n"/>
      <c r="J48" s="106" t="n"/>
    </row>
    <row r="49" ht="15" customHeight="1" s="67">
      <c r="A49" s="130" t="n"/>
      <c r="B49" s="130" t="n"/>
      <c r="C49" s="130" t="n"/>
      <c r="D49" s="130" t="n"/>
      <c r="E49" s="106" t="n"/>
      <c r="F49" s="106" t="n"/>
      <c r="G49" s="106" t="n"/>
      <c r="H49" s="106" t="n"/>
      <c r="I49" s="106" t="n"/>
      <c r="J49" s="106" t="n"/>
    </row>
    <row r="50" ht="15" customHeight="1" s="67">
      <c r="A50" s="130" t="n"/>
      <c r="B50" s="130" t="n"/>
      <c r="C50" s="130" t="n"/>
      <c r="D50" s="130" t="n"/>
      <c r="E50" s="106" t="n"/>
      <c r="F50" s="106" t="n"/>
      <c r="G50" s="106" t="n"/>
      <c r="H50" s="106" t="n"/>
      <c r="I50" s="106" t="n"/>
      <c r="J50" s="106" t="n"/>
    </row>
    <row r="51" ht="15" customHeight="1" s="67">
      <c r="A51" s="130" t="n"/>
      <c r="B51" s="130" t="n"/>
      <c r="C51" s="130" t="n"/>
      <c r="D51" s="130" t="n"/>
      <c r="E51" s="106" t="n"/>
      <c r="F51" s="106" t="n"/>
      <c r="G51" s="106" t="n"/>
      <c r="H51" s="106" t="n"/>
      <c r="I51" s="106" t="n"/>
      <c r="J51" s="106" t="n"/>
    </row>
    <row r="52">
      <c r="A52" s="138" t="inlineStr">
        <is>
          <t>CONTRÔLES PAR PÉRIODE - JUILLET</t>
        </is>
      </c>
      <c r="B52" s="106" t="n"/>
      <c r="C52" s="106" t="n"/>
      <c r="D52" s="106" t="n"/>
      <c r="E52" s="106" t="n"/>
      <c r="F52" s="106" t="n"/>
      <c r="G52" s="106" t="n"/>
      <c r="H52" s="106" t="n"/>
      <c r="I52" s="106" t="n"/>
      <c r="J52" s="106" t="n"/>
    </row>
    <row r="53" ht="15" customHeight="1" s="67">
      <c r="A53" s="130" t="n"/>
      <c r="B53" s="106" t="n"/>
      <c r="C53" s="106" t="n"/>
      <c r="D53" s="106" t="n"/>
      <c r="E53" s="106" t="n"/>
      <c r="F53" s="106" t="n"/>
      <c r="G53" s="106" t="n"/>
      <c r="H53" s="106" t="n"/>
      <c r="I53" s="106" t="n"/>
      <c r="J53" s="106" t="n"/>
    </row>
    <row r="54">
      <c r="A54" s="104" t="inlineStr">
        <is>
          <t>Période</t>
        </is>
      </c>
      <c r="B54" s="104" t="inlineStr">
        <is>
          <t>Heures</t>
        </is>
      </c>
      <c r="C54" s="104" t="inlineStr">
        <is>
          <t>CH</t>
        </is>
      </c>
      <c r="D54" s="104" t="inlineStr">
        <is>
          <t>RH</t>
        </is>
      </c>
      <c r="E54" s="104" t="inlineStr">
        <is>
          <t>CV</t>
        </is>
      </c>
      <c r="F54" s="104" t="inlineStr">
        <is>
          <t>RR</t>
        </is>
      </c>
      <c r="G54" s="104" t="inlineStr">
        <is>
          <t>Férié Trav.</t>
        </is>
      </c>
      <c r="H54" s="104" t="inlineStr">
        <is>
          <t>Statut</t>
        </is>
      </c>
      <c r="I54" s="106" t="n"/>
      <c r="J54" s="106" t="n"/>
    </row>
    <row r="55" ht="15" customHeight="1" s="67">
      <c r="A55" s="105" t="inlineStr">
        <is>
          <t>P7</t>
        </is>
      </c>
      <c r="B55" s="105">
        <f>(COUNTIF('Juin'!O12:P12,"101") + COUNTIF('Juillet'!B6:P6,"101") + COUNTIF('Juillet'!B12:L12,"101") + COUNTIF('Juin'!O12:P12,"102") + COUNTIF('Juillet'!B6:P6,"102") + COUNTIF('Juillet'!B12:L12,"102") + COUNTIF('Juin'!O12:P12,"111") + COUNTIF('Juillet'!B6:P6,"111") + COUNTIF('Juillet'!B12:L12,"111") + COUNTIF('Juin'!O12:P12,"112") + COUNTIF('Juillet'!B6:P6,"112") + COUNTIF('Juillet'!B12:L12,"112") + COUNTIF('Juin'!O12:P12,"121") + COUNTIF('Juillet'!B6:P6,"121") + COUNTIF('Juillet'!B12:L12,"121") + COUNTIF('Juin'!O12:P12,"6101") + COUNTIF('Juillet'!B6:P6,"6101") + COUNTIF('Juillet'!B12:L12,"6101") + COUNTIF('Juin'!O12:P12,"6102") + COUNTIF('Juillet'!B6:P6,"6102") + COUNTIF('Juillet'!B12:L12,"6102") + COUNTIF('Juin'!O12:P12,"6111") + COUNTIF('Juillet'!B6:P6,"6111") + COUNTIF('Juillet'!B12:L12,"6111") + COUNTIF('Juin'!O12:P12,"6112") + COUNTIF('Juillet'!B6:P6,"6112") + COUNTIF('Juillet'!B12:L12,"6112") + COUNTIF('Juin'!O12:P12,"6121") + COUNTIF('Juillet'!B6:P6,"6121") + COUNTIF('Juillet'!B12:L12,"6121") + COUNTIF('Juin'!O12:P12,"7101") + COUNTIF('Juillet'!B6:P6,"7101") + COUNTIF('Juillet'!B12:L12,"7101") + COUNTIF('Juin'!O12:P12,"7102") + COUNTIF('Juillet'!B6:P6,"7102") + COUNTIF('Juillet'!B12:L12,"7102") + COUNTIF('Juin'!O12:P12,"7111") + COUNTIF('Juillet'!B6:P6,"7111") + COUNTIF('Juillet'!B12:L12,"7111") + COUNTIF('Juin'!O12:P12,"7112") + COUNTIF('Juillet'!B6:P6,"7112") + COUNTIF('Juillet'!B12:L12,"7112") + COUNTIF('Juin'!O12:P12,"7121") + COUNTIF('Juillet'!B6:P6,"7121") + COUNTIF('Juillet'!B12:L12,"7121") + COUNTIF('Juin'!O12:P12,"X_AM") + COUNTIF('Juillet'!B6:P6,"X_AM") + COUNTIF('Juillet'!B12:L12,"X_AM") + COUNTIF('Juin'!O12:P12,"X_PM") + COUNTIF('Juillet'!B6:P6,"X_PM") + COUNTIF('Juillet'!B12:L12,"X_PM") + COUNTIF('Juin'!O12:P12,"X_10") + COUNTIF('Juillet'!B6:P6,"X_10") + COUNTIF('Juillet'!B12:L12,"X_10") + COUNTIF('Juin'!O12:P12,"AG") + COUNTIF('Juillet'!B6:P6,"AG") + COUNTIF('Juillet'!B12:L12,"AG") + COUNTIF('Juin'!O12:P12,"CN") + COUNTIF('Juillet'!B6:P6,"CN") + COUNTIF('Juillet'!B12:L12,"CN") + COUNTIF('Juin'!O12:P12,"JC") + COUNTIF('Juillet'!B6:P6,"JC") + COUNTIF('Juillet'!B12:L12,"JC") + COUNTIF('Juin'!O12:P12,"RR") + COUNTIF('Juillet'!B6:P6,"RR") + COUNTIF('Juillet'!B12:L12,"RR") + COUNTIF('Juin'!O12:P12,"ZM") + COUNTIF('Juillet'!B6:P6,"ZM") + COUNTIF('Juillet'!B12:L12,"ZM") + COUNTIF('Juin'!O12:P12,"CV") + COUNTIF('Juillet'!B6:P6,"CV") + COUNTIF('Juillet'!B12:L12,"CV"))*8</f>
        <v/>
      </c>
      <c r="C55" s="105">
        <f>COUNTIF('Juin'!O12:P12,"CH")+COUNTIF('Juillet'!B6:P6,"CH")+COUNTIF('Juillet'!B12:L12,"CH")</f>
        <v/>
      </c>
      <c r="D55" s="105">
        <f>COUNTIF('Juin'!O12:P12,"RH")+COUNTIF('Juillet'!B6:P6,"RH")+COUNTIF('Juillet'!B12:L12,"RH")</f>
        <v/>
      </c>
      <c r="E55" s="105">
        <f>COUNTIF('Juin'!O12:P12,"CV")+COUNTIF('Juillet'!B6:P6,"CV")+COUNTIF('Juillet'!B12:L12,"CV")</f>
        <v/>
      </c>
      <c r="F55" s="105">
        <f>COUNTIF('Juin'!O12:P12,"RR")+COUNTIF('Juillet'!B6:P6,"RR")+COUNTIF('Juillet'!B12:L12,"RR")</f>
        <v/>
      </c>
      <c r="G55" s="105">
        <f>SUM(COUNTIF('Juillet'!G12,{7101,7102,7111,7112,7121}))</f>
        <v/>
      </c>
      <c r="H55" s="105">
        <f>IF(B55&gt;160,"⚠ &gt;160h",IF(C55&lt;&gt;4,"⚠ CH≠4",IF(D55&lt;&gt;4,"⚠ RH≠4",IF(E55&lt;&gt;1,"⚠ CV≠1",IF(AND(G55&gt;0,F55=0),"⚠ RR manquant","✓ OK")))))</f>
        <v/>
      </c>
      <c r="I55" s="106" t="n"/>
      <c r="J55" s="106" t="n"/>
    </row>
    <row r="56" ht="15" customHeight="1" s="67">
      <c r="A56" s="105" t="inlineStr">
        <is>
          <t>P8</t>
        </is>
      </c>
      <c r="B56" s="105">
        <f>(COUNTIF('Juillet'!M12:Q12,"101") + COUNTIF('Août'!B6:P6,"101") + COUNTIF('Août'!B12:I12,"101") + COUNTIF('Juillet'!M12:Q12,"102") + COUNTIF('Août'!B6:P6,"102") + COUNTIF('Août'!B12:I12,"102") + COUNTIF('Juillet'!M12:Q12,"111") + COUNTIF('Août'!B6:P6,"111") + COUNTIF('Août'!B12:I12,"111") + COUNTIF('Juillet'!M12:Q12,"112") + COUNTIF('Août'!B6:P6,"112") + COUNTIF('Août'!B12:I12,"112") + COUNTIF('Juillet'!M12:Q12,"121") + COUNTIF('Août'!B6:P6,"121") + COUNTIF('Août'!B12:I12,"121") + COUNTIF('Juillet'!M12:Q12,"6101") + COUNTIF('Août'!B6:P6,"6101") + COUNTIF('Août'!B12:I12,"6101") + COUNTIF('Juillet'!M12:Q12,"6102") + COUNTIF('Août'!B6:P6,"6102") + COUNTIF('Août'!B12:I12,"6102") + COUNTIF('Juillet'!M12:Q12,"6111") + COUNTIF('Août'!B6:P6,"6111") + COUNTIF('Août'!B12:I12,"6111") + COUNTIF('Juillet'!M12:Q12,"6112") + COUNTIF('Août'!B6:P6,"6112") + COUNTIF('Août'!B12:I12,"6112") + COUNTIF('Juillet'!M12:Q12,"6121") + COUNTIF('Août'!B6:P6,"6121") + COUNTIF('Août'!B12:I12,"6121") + COUNTIF('Juillet'!M12:Q12,"7101") + COUNTIF('Août'!B6:P6,"7101") + COUNTIF('Août'!B12:I12,"7101") + COUNTIF('Juillet'!M12:Q12,"7102") + COUNTIF('Août'!B6:P6,"7102") + COUNTIF('Août'!B12:I12,"7102") + COUNTIF('Juillet'!M12:Q12,"7111") + COUNTIF('Août'!B6:P6,"7111") + COUNTIF('Août'!B12:I12,"7111") + COUNTIF('Juillet'!M12:Q12,"7112") + COUNTIF('Août'!B6:P6,"7112") + COUNTIF('Août'!B12:I12,"7112") + COUNTIF('Juillet'!M12:Q12,"7121") + COUNTIF('Août'!B6:P6,"7121") + COUNTIF('Août'!B12:I12,"7121") + COUNTIF('Juillet'!M12:Q12,"X_AM") + COUNTIF('Août'!B6:P6,"X_AM") + COUNTIF('Août'!B12:I12,"X_AM") + COUNTIF('Juillet'!M12:Q12,"X_PM") + COUNTIF('Août'!B6:P6,"X_PM") + COUNTIF('Août'!B12:I12,"X_PM") + COUNTIF('Juillet'!M12:Q12,"X_10") + COUNTIF('Août'!B6:P6,"X_10") + COUNTIF('Août'!B12:I12,"X_10") + COUNTIF('Juillet'!M12:Q12,"AG") + COUNTIF('Août'!B6:P6,"AG") + COUNTIF('Août'!B12:I12,"AG") + COUNTIF('Juillet'!M12:Q12,"CN") + COUNTIF('Août'!B6:P6,"CN") + COUNTIF('Août'!B12:I12,"CN") + COUNTIF('Juillet'!M12:Q12,"JC") + COUNTIF('Août'!B6:P6,"JC") + COUNTIF('Août'!B12:I12,"JC") + COUNTIF('Juillet'!M12:Q12,"RR") + COUNTIF('Août'!B6:P6,"RR") + COUNTIF('Août'!B12:I12,"RR") + COUNTIF('Juillet'!M12:Q12,"ZM") + COUNTIF('Août'!B6:P6,"ZM") + COUNTIF('Août'!B12:I12,"ZM") + COUNTIF('Juillet'!M12:Q12,"CV") + COUNTIF('Août'!B6:P6,"CV") + COUNTIF('Août'!B12:I12,"CV"))*8</f>
        <v/>
      </c>
      <c r="C56" s="105">
        <f>COUNTIF('Juillet'!M12:Q12,"CH")+COUNTIF('Août'!B6:P6,"CH")+COUNTIF('Août'!B12:I12,"CH")</f>
        <v/>
      </c>
      <c r="D56" s="105">
        <f>COUNTIF('Juillet'!M12:Q12,"RH")+COUNTIF('Août'!B6:P6,"RH")+COUNTIF('Août'!B12:I12,"RH")</f>
        <v/>
      </c>
      <c r="E56" s="105">
        <f>COUNTIF('Juillet'!M12:Q12,"CV")+COUNTIF('Août'!B6:P6,"CV")+COUNTIF('Août'!B12:I12,"CV")</f>
        <v/>
      </c>
      <c r="F56" s="105">
        <f>COUNTIF('Juillet'!M12:Q12,"RR")+COUNTIF('Août'!B6:P6,"RR")+COUNTIF('Août'!B12:I12,"RR")</f>
        <v/>
      </c>
      <c r="G56" s="105">
        <f>SUM(COUNTIF('Août'!P6,{7101,7102,7111,7112,7121}))</f>
        <v/>
      </c>
      <c r="H56" s="105">
        <f>IF(B56&gt;160,"⚠ &gt;160h",IF(C56&lt;&gt;4,"⚠ CH≠4",IF(D56&lt;&gt;4,"⚠ RH≠4",IF(E56&lt;&gt;1,"⚠ CV≠1",IF(AND(G56&gt;0,F56=0),"⚠ RR manquant","✓ OK")))))</f>
        <v/>
      </c>
      <c r="I56" s="106" t="n"/>
      <c r="J56" s="106" t="n"/>
    </row>
    <row r="57" ht="15" customHeight="1" s="67">
      <c r="A57" s="130" t="n"/>
      <c r="B57" s="130" t="n"/>
      <c r="C57" s="130" t="n"/>
      <c r="D57" s="130" t="n"/>
      <c r="E57" s="106" t="n"/>
      <c r="F57" s="106" t="n"/>
      <c r="G57" s="106" t="n"/>
      <c r="H57" s="106" t="n"/>
      <c r="I57" s="106" t="n"/>
      <c r="J57" s="106" t="n"/>
    </row>
    <row r="58">
      <c r="A58" s="106" t="n"/>
      <c r="B58" s="106" t="n"/>
      <c r="C58" s="106" t="n"/>
      <c r="D58" s="106" t="n"/>
      <c r="E58" s="106" t="n"/>
      <c r="F58" s="106" t="n"/>
      <c r="G58" s="106" t="n"/>
      <c r="H58" s="106" t="n"/>
      <c r="I58" s="106" t="n"/>
      <c r="J58" s="106" t="n"/>
    </row>
    <row r="59">
      <c r="A59" s="106" t="n"/>
      <c r="B59" s="106" t="n"/>
      <c r="C59" s="106" t="n"/>
      <c r="D59" s="106" t="n"/>
      <c r="E59" s="106" t="n"/>
      <c r="F59" s="106" t="n"/>
      <c r="G59" s="106" t="n"/>
      <c r="H59" s="106" t="n"/>
      <c r="I59" s="106" t="n"/>
      <c r="J59" s="106" t="n"/>
    </row>
    <row r="60">
      <c r="A60" s="106" t="n"/>
      <c r="B60" s="106" t="n"/>
      <c r="C60" s="106" t="n"/>
      <c r="D60" s="106" t="n"/>
      <c r="E60" s="106" t="n"/>
      <c r="F60" s="106" t="n"/>
      <c r="G60" s="106" t="n"/>
      <c r="H60" s="106" t="n"/>
      <c r="I60" s="106" t="n"/>
      <c r="J60" s="106" t="n"/>
    </row>
    <row r="61">
      <c r="A61" s="106" t="n"/>
      <c r="B61" s="106" t="n"/>
      <c r="C61" s="106" t="n"/>
      <c r="D61" s="106" t="n"/>
      <c r="E61" s="106" t="n"/>
      <c r="F61" s="106" t="n"/>
      <c r="G61" s="106" t="n"/>
      <c r="H61" s="106" t="n"/>
      <c r="I61" s="106" t="n"/>
      <c r="J61" s="106" t="n"/>
    </row>
    <row r="62">
      <c r="A62" s="106" t="n"/>
      <c r="B62" s="106" t="n"/>
      <c r="C62" s="106" t="n"/>
      <c r="D62" s="106" t="n"/>
      <c r="E62" s="106" t="n"/>
      <c r="F62" s="106" t="n"/>
      <c r="G62" s="106" t="n"/>
      <c r="H62" s="106" t="n"/>
      <c r="I62" s="106" t="n"/>
      <c r="J62" s="106" t="n"/>
    </row>
    <row r="63">
      <c r="A63" s="106" t="n"/>
      <c r="B63" s="106" t="n"/>
      <c r="C63" s="106" t="n"/>
      <c r="D63" s="106" t="n"/>
      <c r="E63" s="106" t="n"/>
      <c r="F63" s="106" t="n"/>
      <c r="G63" s="106" t="n"/>
      <c r="H63" s="106" t="n"/>
      <c r="I63" s="106" t="n"/>
      <c r="J63" s="106" t="n"/>
    </row>
    <row r="64">
      <c r="A64" s="106" t="n"/>
      <c r="B64" s="106" t="n"/>
      <c r="C64" s="106" t="n"/>
      <c r="D64" s="106" t="n"/>
      <c r="E64" s="106" t="n"/>
      <c r="F64" s="106" t="n"/>
      <c r="G64" s="106" t="n"/>
      <c r="H64" s="106" t="n"/>
      <c r="I64" s="106" t="n"/>
      <c r="J64" s="106" t="n"/>
    </row>
    <row r="65">
      <c r="A65" s="106" t="n"/>
      <c r="B65" s="106" t="n"/>
      <c r="C65" s="106" t="n"/>
      <c r="D65" s="106" t="n"/>
      <c r="E65" s="106" t="n"/>
      <c r="F65" s="106" t="n"/>
      <c r="G65" s="106" t="n"/>
      <c r="H65" s="106" t="n"/>
      <c r="I65" s="106" t="n"/>
      <c r="J65" s="106" t="n"/>
    </row>
    <row r="66">
      <c r="A66" s="106" t="n"/>
      <c r="B66" s="106" t="n"/>
      <c r="C66" s="106" t="n"/>
      <c r="D66" s="106" t="n"/>
      <c r="E66" s="106" t="n"/>
      <c r="F66" s="106" t="n"/>
      <c r="G66" s="106" t="n"/>
      <c r="H66" s="106" t="n"/>
      <c r="I66" s="106" t="n"/>
      <c r="J66" s="106" t="n"/>
    </row>
    <row r="67">
      <c r="A67" s="106" t="n"/>
      <c r="B67" s="106" t="n"/>
      <c r="C67" s="106" t="n"/>
      <c r="D67" s="106" t="n"/>
      <c r="E67" s="106" t="n"/>
      <c r="F67" s="106" t="n"/>
      <c r="G67" s="106" t="n"/>
      <c r="H67" s="106" t="n"/>
      <c r="I67" s="106" t="n"/>
      <c r="J67" s="106" t="n"/>
    </row>
    <row r="68">
      <c r="A68" s="106" t="n"/>
      <c r="B68" s="106" t="n"/>
      <c r="C68" s="106" t="n"/>
      <c r="D68" s="106" t="n"/>
      <c r="E68" s="106" t="n"/>
      <c r="F68" s="106" t="n"/>
      <c r="G68" s="106" t="n"/>
      <c r="H68" s="106" t="n"/>
      <c r="I68" s="106" t="n"/>
      <c r="J68" s="106" t="n"/>
    </row>
    <row r="69">
      <c r="A69" s="106" t="n"/>
      <c r="B69" s="106" t="n"/>
      <c r="C69" s="106" t="n"/>
      <c r="D69" s="106" t="n"/>
      <c r="E69" s="106" t="n"/>
      <c r="F69" s="106" t="n"/>
      <c r="G69" s="106" t="n"/>
      <c r="H69" s="106" t="n"/>
      <c r="I69" s="106" t="n"/>
      <c r="J69" s="106" t="n"/>
    </row>
    <row r="70">
      <c r="A70" s="106" t="n"/>
      <c r="B70" s="106" t="n"/>
      <c r="C70" s="106" t="n"/>
      <c r="D70" s="106" t="n"/>
      <c r="E70" s="106" t="n"/>
      <c r="F70" s="106" t="n"/>
      <c r="G70" s="106" t="n"/>
      <c r="H70" s="106" t="n"/>
      <c r="I70" s="106" t="n"/>
      <c r="J70" s="106" t="n"/>
    </row>
    <row r="71">
      <c r="A71" s="106" t="n"/>
      <c r="B71" s="106" t="n"/>
      <c r="C71" s="106" t="n"/>
      <c r="D71" s="106" t="n"/>
      <c r="E71" s="106" t="n"/>
      <c r="F71" s="106" t="n"/>
      <c r="G71" s="106" t="n"/>
      <c r="H71" s="106" t="n"/>
      <c r="I71" s="106" t="n"/>
      <c r="J71" s="106" t="n"/>
    </row>
    <row r="72">
      <c r="A72" s="106" t="n"/>
      <c r="B72" s="106" t="n"/>
      <c r="C72" s="106" t="n"/>
      <c r="D72" s="106" t="n"/>
      <c r="E72" s="106" t="n"/>
      <c r="F72" s="106" t="n"/>
      <c r="G72" s="106" t="n"/>
      <c r="H72" s="106" t="n"/>
      <c r="I72" s="106" t="n"/>
      <c r="J72" s="106" t="n"/>
    </row>
    <row r="73">
      <c r="A73" s="106" t="n"/>
      <c r="B73" s="106" t="n"/>
      <c r="C73" s="106" t="n"/>
      <c r="D73" s="106" t="n"/>
      <c r="E73" s="106" t="n"/>
      <c r="F73" s="106" t="n"/>
      <c r="G73" s="106" t="n"/>
      <c r="H73" s="106" t="n"/>
      <c r="I73" s="106" t="n"/>
      <c r="J73" s="106" t="n"/>
    </row>
    <row r="74">
      <c r="A74" s="106" t="n"/>
      <c r="B74" s="106" t="n"/>
      <c r="C74" s="106" t="n"/>
      <c r="D74" s="106" t="n"/>
      <c r="E74" s="106" t="n"/>
      <c r="F74" s="106" t="n"/>
      <c r="G74" s="106" t="n"/>
      <c r="H74" s="106" t="n"/>
      <c r="I74" s="106" t="n"/>
      <c r="J74" s="106" t="n"/>
    </row>
    <row r="75">
      <c r="A75" s="106" t="n"/>
      <c r="B75" s="106" t="n"/>
      <c r="C75" s="106" t="n"/>
      <c r="D75" s="106" t="n"/>
      <c r="E75" s="106" t="n"/>
      <c r="F75" s="106" t="n"/>
      <c r="G75" s="106" t="n"/>
      <c r="H75" s="106" t="n"/>
      <c r="I75" s="106" t="n"/>
      <c r="J75" s="106" t="n"/>
    </row>
    <row r="76">
      <c r="A76" s="106" t="n"/>
      <c r="B76" s="106" t="n"/>
      <c r="C76" s="106" t="n"/>
      <c r="D76" s="106" t="n"/>
      <c r="E76" s="106" t="n"/>
      <c r="F76" s="106" t="n"/>
      <c r="G76" s="106" t="n"/>
      <c r="H76" s="106" t="n"/>
      <c r="I76" s="106" t="n"/>
      <c r="J76" s="106" t="n"/>
    </row>
    <row r="77">
      <c r="A77" s="106" t="n"/>
      <c r="B77" s="106" t="n"/>
      <c r="C77" s="106" t="n"/>
      <c r="D77" s="106" t="n"/>
      <c r="E77" s="106" t="n"/>
      <c r="F77" s="106" t="n"/>
      <c r="G77" s="106" t="n"/>
      <c r="H77" s="106" t="n"/>
      <c r="I77" s="106" t="n"/>
      <c r="J77" s="106" t="n"/>
    </row>
    <row r="78">
      <c r="A78" s="106" t="n"/>
      <c r="B78" s="106" t="n"/>
      <c r="C78" s="106" t="n"/>
      <c r="D78" s="106" t="n"/>
      <c r="E78" s="106" t="n"/>
      <c r="F78" s="106" t="n"/>
      <c r="G78" s="106" t="n"/>
      <c r="H78" s="106" t="n"/>
      <c r="I78" s="106" t="n"/>
      <c r="J78" s="106" t="n"/>
    </row>
    <row r="79">
      <c r="A79" s="106" t="n"/>
      <c r="B79" s="106" t="n"/>
      <c r="C79" s="106" t="n"/>
      <c r="D79" s="106" t="n"/>
      <c r="E79" s="106" t="n"/>
      <c r="F79" s="106" t="n"/>
      <c r="G79" s="106" t="n"/>
      <c r="H79" s="106" t="n"/>
      <c r="I79" s="106" t="n"/>
      <c r="J79" s="106" t="n"/>
    </row>
    <row r="80">
      <c r="A80" s="106" t="n"/>
      <c r="B80" s="106" t="n"/>
      <c r="C80" s="106" t="n"/>
      <c r="D80" s="106" t="n"/>
      <c r="E80" s="106" t="n"/>
      <c r="F80" s="106" t="n"/>
      <c r="G80" s="106" t="n"/>
      <c r="H80" s="106" t="n"/>
      <c r="I80" s="106" t="n"/>
      <c r="J80" s="106" t="n"/>
    </row>
    <row r="81">
      <c r="A81" s="106" t="n"/>
      <c r="B81" s="106" t="n"/>
      <c r="C81" s="106" t="n"/>
      <c r="D81" s="106" t="n"/>
      <c r="E81" s="106" t="n"/>
      <c r="F81" s="106" t="n"/>
      <c r="G81" s="106" t="n"/>
      <c r="H81" s="106" t="n"/>
      <c r="I81" s="106" t="n"/>
      <c r="J81" s="106" t="n"/>
    </row>
    <row r="82">
      <c r="A82" s="106" t="n"/>
      <c r="B82" s="106" t="n"/>
      <c r="C82" s="106" t="n"/>
      <c r="D82" s="106" t="n"/>
      <c r="E82" s="106" t="n"/>
      <c r="F82" s="106" t="n"/>
      <c r="G82" s="106" t="n"/>
      <c r="H82" s="106" t="n"/>
      <c r="I82" s="106" t="n"/>
      <c r="J82" s="106" t="n"/>
    </row>
    <row r="83">
      <c r="A83" s="106" t="n"/>
      <c r="B83" s="106" t="n"/>
      <c r="C83" s="106" t="n"/>
      <c r="D83" s="106" t="n"/>
      <c r="E83" s="106" t="n"/>
      <c r="F83" s="106" t="n"/>
      <c r="G83" s="106" t="n"/>
      <c r="H83" s="106" t="n"/>
      <c r="I83" s="106" t="n"/>
      <c r="J83" s="106" t="n"/>
    </row>
    <row r="84">
      <c r="A84" s="106" t="n"/>
      <c r="B84" s="106" t="n"/>
      <c r="C84" s="106" t="n"/>
      <c r="D84" s="106" t="n"/>
      <c r="E84" s="106" t="n"/>
      <c r="F84" s="106" t="n"/>
      <c r="G84" s="106" t="n"/>
      <c r="H84" s="106" t="n"/>
      <c r="I84" s="106" t="n"/>
      <c r="J84" s="106" t="n"/>
    </row>
    <row r="85">
      <c r="A85" s="106" t="n"/>
      <c r="B85" s="106" t="n"/>
      <c r="C85" s="106" t="n"/>
      <c r="D85" s="106" t="n"/>
      <c r="E85" s="106" t="n"/>
      <c r="F85" s="106" t="n"/>
      <c r="G85" s="106" t="n"/>
      <c r="H85" s="106" t="n"/>
      <c r="I85" s="106" t="n"/>
      <c r="J85" s="106" t="n"/>
    </row>
    <row r="86">
      <c r="A86" s="106" t="n"/>
      <c r="B86" s="106" t="n"/>
      <c r="C86" s="106" t="n"/>
      <c r="D86" s="106" t="n"/>
      <c r="E86" s="106" t="n"/>
      <c r="F86" s="106" t="n"/>
      <c r="G86" s="106" t="n"/>
      <c r="H86" s="106" t="n"/>
      <c r="I86" s="106" t="n"/>
      <c r="J86" s="106" t="n"/>
    </row>
    <row r="87">
      <c r="A87" s="106" t="n"/>
      <c r="B87" s="106" t="n"/>
      <c r="C87" s="106" t="n"/>
      <c r="D87" s="106" t="n"/>
      <c r="E87" s="106" t="n"/>
      <c r="F87" s="106" t="n"/>
      <c r="G87" s="106" t="n"/>
      <c r="H87" s="106" t="n"/>
      <c r="I87" s="106" t="n"/>
      <c r="J87" s="106" t="n"/>
    </row>
    <row r="88">
      <c r="A88" s="106" t="n"/>
      <c r="B88" s="106" t="n"/>
      <c r="C88" s="106" t="n"/>
      <c r="D88" s="106" t="n"/>
      <c r="E88" s="106" t="n"/>
      <c r="F88" s="106" t="n"/>
      <c r="G88" s="106" t="n"/>
      <c r="H88" s="106" t="n"/>
      <c r="I88" s="106" t="n"/>
      <c r="J88" s="106" t="n"/>
    </row>
    <row r="89">
      <c r="A89" s="106" t="n"/>
      <c r="B89" s="106" t="n"/>
      <c r="C89" s="106" t="n"/>
      <c r="D89" s="106" t="n"/>
      <c r="E89" s="106" t="n"/>
      <c r="F89" s="106" t="n"/>
      <c r="G89" s="106" t="n"/>
      <c r="H89" s="106" t="n"/>
      <c r="I89" s="106" t="n"/>
      <c r="J89" s="106" t="n"/>
    </row>
    <row r="90">
      <c r="A90" s="106" t="n"/>
      <c r="B90" s="106" t="n"/>
      <c r="C90" s="106" t="n"/>
      <c r="D90" s="106" t="n"/>
      <c r="E90" s="106" t="n"/>
      <c r="F90" s="106" t="n"/>
      <c r="G90" s="106" t="n"/>
      <c r="H90" s="106" t="n"/>
      <c r="I90" s="106" t="n"/>
      <c r="J90" s="106" t="n"/>
    </row>
    <row r="91">
      <c r="A91" s="106" t="n"/>
      <c r="B91" s="106" t="n"/>
      <c r="C91" s="106" t="n"/>
      <c r="D91" s="106" t="n"/>
      <c r="E91" s="106" t="n"/>
      <c r="F91" s="106" t="n"/>
      <c r="G91" s="106" t="n"/>
      <c r="H91" s="106" t="n"/>
      <c r="I91" s="106" t="n"/>
      <c r="J91" s="106" t="n"/>
    </row>
    <row r="92">
      <c r="A92" s="106" t="n"/>
      <c r="B92" s="106" t="n"/>
      <c r="C92" s="106" t="n"/>
      <c r="D92" s="106" t="n"/>
      <c r="E92" s="106" t="n"/>
      <c r="F92" s="106" t="n"/>
      <c r="G92" s="106" t="n"/>
      <c r="H92" s="106" t="n"/>
      <c r="I92" s="106" t="n"/>
      <c r="J92" s="106" t="n"/>
    </row>
    <row r="93">
      <c r="A93" s="106" t="n"/>
      <c r="B93" s="106" t="n"/>
      <c r="C93" s="106" t="n"/>
      <c r="D93" s="106" t="n"/>
      <c r="E93" s="106" t="n"/>
      <c r="F93" s="106" t="n"/>
      <c r="G93" s="106" t="n"/>
      <c r="H93" s="106" t="n"/>
      <c r="I93" s="106" t="n"/>
      <c r="J93" s="106" t="n"/>
    </row>
    <row r="94">
      <c r="A94" s="106" t="n"/>
      <c r="B94" s="106" t="n"/>
      <c r="C94" s="106" t="n"/>
      <c r="D94" s="106" t="n"/>
      <c r="E94" s="106" t="n"/>
      <c r="F94" s="106" t="n"/>
      <c r="G94" s="106" t="n"/>
      <c r="H94" s="106" t="n"/>
      <c r="I94" s="106" t="n"/>
      <c r="J94" s="106" t="n"/>
    </row>
    <row r="95">
      <c r="A95" s="106" t="n"/>
      <c r="B95" s="106" t="n"/>
      <c r="C95" s="106" t="n"/>
      <c r="D95" s="106" t="n"/>
      <c r="E95" s="106" t="n"/>
      <c r="F95" s="106" t="n"/>
      <c r="G95" s="106" t="n"/>
      <c r="H95" s="106" t="n"/>
      <c r="I95" s="106" t="n"/>
      <c r="J95" s="106" t="n"/>
    </row>
    <row r="96">
      <c r="A96" s="106" t="n"/>
      <c r="B96" s="106" t="n"/>
      <c r="C96" s="106" t="n"/>
      <c r="D96" s="106" t="n"/>
      <c r="E96" s="106" t="n"/>
      <c r="F96" s="106" t="n"/>
      <c r="G96" s="106" t="n"/>
      <c r="H96" s="106" t="n"/>
      <c r="I96" s="106" t="n"/>
      <c r="J96" s="106" t="n"/>
    </row>
    <row r="97">
      <c r="A97" s="106" t="n"/>
      <c r="B97" s="106" t="n"/>
      <c r="C97" s="106" t="n"/>
      <c r="D97" s="106" t="n"/>
      <c r="E97" s="106" t="n"/>
      <c r="F97" s="106" t="n"/>
      <c r="G97" s="106" t="n"/>
      <c r="H97" s="106" t="n"/>
      <c r="I97" s="106" t="n"/>
      <c r="J97" s="106" t="n"/>
    </row>
    <row r="98">
      <c r="A98" s="106" t="n"/>
      <c r="B98" s="106" t="n"/>
      <c r="C98" s="106" t="n"/>
      <c r="D98" s="106" t="n"/>
      <c r="E98" s="106" t="n"/>
      <c r="F98" s="106" t="n"/>
      <c r="G98" s="106" t="n"/>
      <c r="H98" s="106" t="n"/>
      <c r="I98" s="106" t="n"/>
      <c r="J98" s="106" t="n"/>
    </row>
    <row r="99">
      <c r="A99" s="106" t="n"/>
      <c r="B99" s="106" t="n"/>
      <c r="C99" s="106" t="n"/>
      <c r="D99" s="106" t="n"/>
      <c r="E99" s="106" t="n"/>
      <c r="F99" s="106" t="n"/>
      <c r="G99" s="106" t="n"/>
      <c r="H99" s="106" t="n"/>
      <c r="I99" s="106" t="n"/>
      <c r="J99" s="106" t="n"/>
    </row>
    <row r="100">
      <c r="A100" s="106" t="n"/>
      <c r="B100" s="106" t="n"/>
      <c r="C100" s="106" t="n"/>
      <c r="D100" s="106" t="n"/>
      <c r="E100" s="106" t="n"/>
      <c r="F100" s="106" t="n"/>
      <c r="G100" s="106" t="n"/>
      <c r="H100" s="106" t="n"/>
      <c r="I100" s="106" t="n"/>
      <c r="J100" s="106" t="n"/>
    </row>
  </sheetData>
  <mergeCells count="1">
    <mergeCell ref="A1:P1"/>
  </mergeCells>
  <conditionalFormatting sqref="B6:P6 B12:Q12">
    <cfRule type="cellIs" rank="0" priority="2" equalAverage="0" operator="equal" aboveAverage="0" dxfId="0" text="" percent="0" bottom="0">
      <formula>101</formula>
    </cfRule>
    <cfRule type="cellIs" rank="0" priority="3" equalAverage="0" operator="equal" aboveAverage="0" dxfId="1" text="" percent="0" bottom="0">
      <formula>102</formula>
    </cfRule>
    <cfRule type="cellIs" rank="0" priority="4" equalAverage="0" operator="equal" aboveAverage="0" dxfId="2" text="" percent="0" bottom="0">
      <formula>111</formula>
    </cfRule>
    <cfRule type="cellIs" rank="0" priority="5" equalAverage="0" operator="equal" aboveAverage="0" dxfId="3" text="" percent="0" bottom="0">
      <formula>112</formula>
    </cfRule>
    <cfRule type="cellIs" rank="0" priority="6" equalAverage="0" operator="equal" aboveAverage="0" dxfId="4" text="" percent="0" bottom="0">
      <formula>121</formula>
    </cfRule>
    <cfRule type="cellIs" rank="0" priority="7" equalAverage="0" operator="equal" aboveAverage="0" dxfId="0" text="" percent="0" bottom="0">
      <formula>6101</formula>
    </cfRule>
    <cfRule type="cellIs" rank="0" priority="8" equalAverage="0" operator="equal" aboveAverage="0" dxfId="1" text="" percent="0" bottom="0">
      <formula>6102</formula>
    </cfRule>
    <cfRule type="cellIs" rank="0" priority="9" equalAverage="0" operator="equal" aboveAverage="0" dxfId="2" text="" percent="0" bottom="0">
      <formula>6111</formula>
    </cfRule>
    <cfRule type="cellIs" rank="0" priority="10" equalAverage="0" operator="equal" aboveAverage="0" dxfId="3" text="" percent="0" bottom="0">
      <formula>6112</formula>
    </cfRule>
    <cfRule type="cellIs" rank="0" priority="11" equalAverage="0" operator="equal" aboveAverage="0" dxfId="4" text="" percent="0" bottom="0">
      <formula>6121</formula>
    </cfRule>
    <cfRule type="cellIs" rank="0" priority="12" equalAverage="0" operator="equal" aboveAverage="0" dxfId="0" text="" percent="0" bottom="0">
      <formula>7101</formula>
    </cfRule>
    <cfRule type="cellIs" rank="0" priority="13" equalAverage="0" operator="equal" aboveAverage="0" dxfId="1" text="" percent="0" bottom="0">
      <formula>7102</formula>
    </cfRule>
    <cfRule type="cellIs" rank="0" priority="14" equalAverage="0" operator="equal" aboveAverage="0" dxfId="2" text="" percent="0" bottom="0">
      <formula>7111</formula>
    </cfRule>
    <cfRule type="cellIs" rank="0" priority="15" equalAverage="0" operator="equal" aboveAverage="0" dxfId="3" text="" percent="0" bottom="0">
      <formula>7112</formula>
    </cfRule>
    <cfRule type="cellIs" rank="0" priority="16" equalAverage="0" operator="equal" aboveAverage="0" dxfId="4" text="" percent="0" bottom="0">
      <formula>7121</formula>
    </cfRule>
    <cfRule type="cellIs" rank="0" priority="17" equalAverage="0" operator="equal" aboveAverage="0" dxfId="5" text="" percent="0" bottom="0">
      <formula>"X_AM"</formula>
    </cfRule>
    <cfRule type="cellIs" rank="0" priority="18" equalAverage="0" operator="equal" aboveAverage="0" dxfId="5" text="" percent="0" bottom="0">
      <formula>"X_PM"</formula>
    </cfRule>
    <cfRule type="cellIs" rank="0" priority="19" equalAverage="0" operator="equal" aboveAverage="0" dxfId="6" text="" percent="0" bottom="0">
      <formula>"X_10"</formula>
    </cfRule>
    <cfRule type="cellIs" rank="0" priority="20" equalAverage="0" operator="equal" aboveAverage="0" dxfId="7" text="" percent="0" bottom="0">
      <formula>"CN"</formula>
    </cfRule>
    <cfRule type="cellIs" rank="0" priority="21" equalAverage="0" operator="equal" aboveAverage="0" dxfId="7" text="" percent="0" bottom="0">
      <formula>"JC"</formula>
    </cfRule>
    <cfRule type="cellIs" rank="0" priority="22" equalAverage="0" operator="equal" aboveAverage="0" dxfId="8" text="" percent="0" bottom="0">
      <formula>"RH"</formula>
    </cfRule>
    <cfRule type="cellIs" rank="0" priority="23" equalAverage="0" operator="equal" aboveAverage="0" dxfId="9" text="" percent="0" bottom="0">
      <formula>"CH"</formula>
    </cfRule>
    <cfRule type="cellIs" rank="0" priority="24" equalAverage="0" operator="equal" aboveAverage="0" dxfId="10" text="" percent="0" bottom="0">
      <formula>"RR"</formula>
    </cfRule>
    <cfRule type="cellIs" rank="0" priority="25" equalAverage="0" operator="equal" aboveAverage="0" dxfId="11" text="" percent="0" bottom="0">
      <formula>"ZM"</formula>
    </cfRule>
  </conditionalFormatting>
  <conditionalFormatting sqref="B56 B57">
    <cfRule type="cellIs" rank="0" priority="26" equalAverage="0" operator="greaterThan" aboveAverage="0" dxfId="12" text="" percent="0" bottom="0">
      <formula>160</formula>
    </cfRule>
  </conditionalFormatting>
  <conditionalFormatting sqref="B6:Q6">
    <cfRule type="cellIs" priority="26" operator="equal" dxfId="13">
      <formula>"CV"</formula>
    </cfRule>
    <cfRule type="cellIs" priority="27" operator="equal" dxfId="14">
      <formula>"AG"</formula>
    </cfRule>
  </conditionalFormatting>
  <conditionalFormatting sqref="B12:R12">
    <cfRule type="cellIs" priority="28" operator="equal" dxfId="13">
      <formula>"CV"</formula>
    </cfRule>
    <cfRule type="cellIs" priority="29" operator="equal" dxfId="14">
      <formula>"AG"</formula>
    </cfRule>
  </conditionalFormatting>
  <conditionalFormatting sqref="B55">
    <cfRule type="cellIs" priority="30" operator="greaterThan" dxfId="15">
      <formula>160</formula>
    </cfRule>
  </conditionalFormatting>
  <conditionalFormatting sqref="C55">
    <cfRule type="cellIs" priority="31" operator="notEqual" dxfId="16">
      <formula>4</formula>
    </cfRule>
  </conditionalFormatting>
  <conditionalFormatting sqref="D55">
    <cfRule type="cellIs" priority="32" operator="notEqual" dxfId="16">
      <formula>4</formula>
    </cfRule>
  </conditionalFormatting>
  <conditionalFormatting sqref="E55">
    <cfRule type="cellIs" priority="33" operator="notEqual" dxfId="16">
      <formula>1</formula>
    </cfRule>
  </conditionalFormatting>
  <conditionalFormatting sqref="H55">
    <cfRule type="cellIs" priority="34" operator="equal" dxfId="17">
      <formula>"✓ OK"</formula>
    </cfRule>
    <cfRule type="cellIs" priority="35" operator="notEqual" dxfId="15">
      <formula>"✓ OK"</formula>
    </cfRule>
  </conditionalFormatting>
  <conditionalFormatting sqref="B56">
    <cfRule type="cellIs" priority="36" operator="greaterThan" dxfId="15">
      <formula>160</formula>
    </cfRule>
  </conditionalFormatting>
  <conditionalFormatting sqref="C56">
    <cfRule type="cellIs" priority="37" operator="notEqual" dxfId="16">
      <formula>4</formula>
    </cfRule>
  </conditionalFormatting>
  <conditionalFormatting sqref="D56">
    <cfRule type="cellIs" priority="38" operator="notEqual" dxfId="16">
      <formula>4</formula>
    </cfRule>
  </conditionalFormatting>
  <conditionalFormatting sqref="E56">
    <cfRule type="cellIs" priority="39" operator="notEqual" dxfId="16">
      <formula>1</formula>
    </cfRule>
  </conditionalFormatting>
  <conditionalFormatting sqref="H56">
    <cfRule type="cellIs" priority="40" operator="equal" dxfId="17">
      <formula>"✓ OK"</formula>
    </cfRule>
    <cfRule type="cellIs" priority="41" operator="notEqual" dxfId="15">
      <formula>"✓ OK"</formula>
    </cfRule>
  </conditionalFormatting>
  <dataValidations count="1">
    <dataValidation sqref="B6:Q6 B12:R12" showDropDown="0" showInputMessage="0" showErrorMessage="0" allowBlank="1" type="list">
      <formula1>"101,102,111,112,121,6101,6102,6111,6112,6121,7101,7102,7111,7112,7121,X_AM,X_PM,X_10,AG,CN,JC,RH,CH,RR,CV,ZM"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Q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L48:L49 A1"/>
    </sheetView>
  </sheetViews>
  <sheetFormatPr baseColWidth="8" defaultColWidth="8.6796875" defaultRowHeight="15" customHeight="0" zeroHeight="0" outlineLevelRow="0"/>
  <cols>
    <col width="45" customWidth="1" style="66" min="1" max="1"/>
    <col width="10" customWidth="1" style="66" min="2" max="17"/>
  </cols>
  <sheetData>
    <row r="1" ht="24.75" customHeight="1" s="67">
      <c r="A1" s="107" t="inlineStr">
        <is>
          <t>AOÛT 2026</t>
        </is>
      </c>
      <c r="Q1" s="69" t="n"/>
    </row>
    <row r="2" ht="15" customHeight="1" s="67">
      <c r="A2" s="69" t="n"/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</row>
    <row r="3" ht="15" customHeight="1" s="67">
      <c r="A3" s="108" t="inlineStr">
        <is>
          <t>Jours 1-15</t>
        </is>
      </c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</row>
    <row r="4" ht="18" customHeight="1" s="67">
      <c r="A4" s="76" t="inlineStr">
        <is>
          <t>Jour</t>
        </is>
      </c>
      <c r="B4" s="111" t="n">
        <v>1</v>
      </c>
      <c r="C4" s="111" t="n">
        <v>2</v>
      </c>
      <c r="D4" s="110" t="n">
        <v>3</v>
      </c>
      <c r="E4" s="110" t="n">
        <v>4</v>
      </c>
      <c r="F4" s="110" t="n">
        <v>5</v>
      </c>
      <c r="G4" s="110" t="n">
        <v>6</v>
      </c>
      <c r="H4" s="110" t="n">
        <v>7</v>
      </c>
      <c r="I4" s="111" t="n">
        <v>8</v>
      </c>
      <c r="J4" s="111" t="n">
        <v>9</v>
      </c>
      <c r="K4" s="110" t="n">
        <v>10</v>
      </c>
      <c r="L4" s="110" t="n">
        <v>11</v>
      </c>
      <c r="M4" s="110" t="n">
        <v>12</v>
      </c>
      <c r="N4" s="110" t="n">
        <v>13</v>
      </c>
      <c r="O4" s="110" t="n">
        <v>14</v>
      </c>
      <c r="P4" s="109" t="n">
        <v>15</v>
      </c>
      <c r="Q4" s="69" t="n"/>
    </row>
    <row r="5" ht="18" customHeight="1" s="67">
      <c r="A5" s="76" t="inlineStr">
        <is>
          <t>J.sem</t>
        </is>
      </c>
      <c r="B5" s="111" t="inlineStr">
        <is>
          <t>S</t>
        </is>
      </c>
      <c r="C5" s="111" t="inlineStr">
        <is>
          <t>D</t>
        </is>
      </c>
      <c r="D5" s="110" t="inlineStr">
        <is>
          <t>L</t>
        </is>
      </c>
      <c r="E5" s="110" t="inlineStr">
        <is>
          <t>M</t>
        </is>
      </c>
      <c r="F5" s="110" t="inlineStr">
        <is>
          <t>M</t>
        </is>
      </c>
      <c r="G5" s="110" t="inlineStr">
        <is>
          <t>J</t>
        </is>
      </c>
      <c r="H5" s="110" t="inlineStr">
        <is>
          <t>V</t>
        </is>
      </c>
      <c r="I5" s="111" t="inlineStr">
        <is>
          <t>S</t>
        </is>
      </c>
      <c r="J5" s="111" t="inlineStr">
        <is>
          <t>D</t>
        </is>
      </c>
      <c r="K5" s="110" t="inlineStr">
        <is>
          <t>L</t>
        </is>
      </c>
      <c r="L5" s="110" t="inlineStr">
        <is>
          <t>M</t>
        </is>
      </c>
      <c r="M5" s="110" t="inlineStr">
        <is>
          <t>M</t>
        </is>
      </c>
      <c r="N5" s="110" t="inlineStr">
        <is>
          <t>J</t>
        </is>
      </c>
      <c r="O5" s="110" t="inlineStr">
        <is>
          <t>V</t>
        </is>
      </c>
      <c r="P5" s="113" t="inlineStr">
        <is>
          <t>S</t>
        </is>
      </c>
      <c r="Q5" s="69" t="n"/>
    </row>
    <row r="6" ht="24.75" customHeight="1" s="67">
      <c r="A6" s="76" t="inlineStr">
        <is>
          <t>Code</t>
        </is>
      </c>
      <c r="B6" s="114" t="n"/>
      <c r="C6" s="114" t="n"/>
      <c r="D6" s="114" t="n"/>
      <c r="E6" s="114" t="n"/>
      <c r="F6" s="114" t="n"/>
      <c r="G6" s="114" t="n"/>
      <c r="H6" s="114" t="n"/>
      <c r="I6" s="114" t="n"/>
      <c r="J6" s="114" t="n"/>
      <c r="K6" s="114" t="n"/>
      <c r="L6" s="114" t="n"/>
      <c r="M6" s="114" t="n"/>
      <c r="N6" s="114" t="n"/>
      <c r="O6" s="114" t="n"/>
      <c r="P6" s="114" t="n"/>
      <c r="Q6" s="69" t="n"/>
    </row>
    <row r="7" ht="15" customHeight="1" s="67">
      <c r="A7" s="76" t="inlineStr">
        <is>
          <t>Période</t>
        </is>
      </c>
      <c r="B7" s="118" t="inlineStr">
        <is>
          <t>P8</t>
        </is>
      </c>
      <c r="C7" s="118" t="inlineStr">
        <is>
          <t>P8</t>
        </is>
      </c>
      <c r="D7" s="118" t="inlineStr">
        <is>
          <t>P8</t>
        </is>
      </c>
      <c r="E7" s="118" t="inlineStr">
        <is>
          <t>P8</t>
        </is>
      </c>
      <c r="F7" s="118" t="inlineStr">
        <is>
          <t>P8</t>
        </is>
      </c>
      <c r="G7" s="118" t="inlineStr">
        <is>
          <t>P8</t>
        </is>
      </c>
      <c r="H7" s="118" t="inlineStr">
        <is>
          <t>P8</t>
        </is>
      </c>
      <c r="I7" s="118" t="inlineStr">
        <is>
          <t>P8</t>
        </is>
      </c>
      <c r="J7" s="118" t="inlineStr">
        <is>
          <t>P8</t>
        </is>
      </c>
      <c r="K7" s="118" t="inlineStr">
        <is>
          <t>P8</t>
        </is>
      </c>
      <c r="L7" s="118" t="inlineStr">
        <is>
          <t>P8</t>
        </is>
      </c>
      <c r="M7" s="118" t="inlineStr">
        <is>
          <t>P8</t>
        </is>
      </c>
      <c r="N7" s="118" t="inlineStr">
        <is>
          <t>P8</t>
        </is>
      </c>
      <c r="O7" s="118" t="inlineStr">
        <is>
          <t>P8</t>
        </is>
      </c>
      <c r="P7" s="118" t="inlineStr">
        <is>
          <t>P8</t>
        </is>
      </c>
      <c r="Q7" s="69" t="n"/>
    </row>
    <row r="8" ht="15" customHeight="1" s="67">
      <c r="A8" s="69" t="n"/>
      <c r="B8" s="69" t="n"/>
      <c r="C8" s="69" t="n"/>
      <c r="D8" s="69" t="n"/>
      <c r="E8" s="69" t="n"/>
      <c r="F8" s="69" t="n"/>
      <c r="G8" s="69" t="n"/>
      <c r="H8" s="69" t="n"/>
      <c r="I8" s="69" t="n"/>
      <c r="J8" s="69" t="n"/>
      <c r="K8" s="69" t="n"/>
      <c r="L8" s="69" t="n"/>
      <c r="M8" s="69" t="n"/>
      <c r="N8" s="69" t="n"/>
      <c r="O8" s="69" t="n"/>
      <c r="P8" s="69" t="n"/>
      <c r="Q8" s="69" t="n"/>
    </row>
    <row r="9" ht="15" customHeight="1" s="67">
      <c r="A9" s="108" t="inlineStr">
        <is>
          <t>Jours 16-31</t>
        </is>
      </c>
      <c r="B9" s="69" t="n"/>
      <c r="C9" s="69" t="n"/>
      <c r="D9" s="69" t="n"/>
      <c r="E9" s="69" t="n"/>
      <c r="F9" s="69" t="n"/>
      <c r="G9" s="69" t="n"/>
      <c r="H9" s="69" t="n"/>
      <c r="I9" s="69" t="n"/>
      <c r="J9" s="69" t="n"/>
      <c r="K9" s="69" t="n"/>
      <c r="L9" s="69" t="n"/>
      <c r="M9" s="69" t="n"/>
      <c r="N9" s="69" t="n"/>
      <c r="O9" s="69" t="n"/>
      <c r="P9" s="69" t="n"/>
      <c r="Q9" s="69" t="n"/>
    </row>
    <row r="10" ht="18" customHeight="1" s="67">
      <c r="A10" s="76" t="inlineStr">
        <is>
          <t>Jour</t>
        </is>
      </c>
      <c r="B10" s="111" t="n">
        <v>16</v>
      </c>
      <c r="C10" s="110" t="n">
        <v>17</v>
      </c>
      <c r="D10" s="110" t="n">
        <v>18</v>
      </c>
      <c r="E10" s="110" t="n">
        <v>19</v>
      </c>
      <c r="F10" s="110" t="n">
        <v>20</v>
      </c>
      <c r="G10" s="110" t="n">
        <v>21</v>
      </c>
      <c r="H10" s="111" t="n">
        <v>22</v>
      </c>
      <c r="I10" s="112" t="n">
        <v>23</v>
      </c>
      <c r="J10" s="112" t="n">
        <v>24</v>
      </c>
      <c r="K10" s="110" t="n">
        <v>25</v>
      </c>
      <c r="L10" s="110" t="n">
        <v>26</v>
      </c>
      <c r="M10" s="110" t="n">
        <v>27</v>
      </c>
      <c r="N10" s="110" t="n">
        <v>28</v>
      </c>
      <c r="O10" s="120" t="n">
        <v>29</v>
      </c>
      <c r="P10" s="120" t="n">
        <v>30</v>
      </c>
      <c r="Q10" s="119" t="n">
        <v>31</v>
      </c>
    </row>
    <row r="11" ht="18" customHeight="1" s="67">
      <c r="A11" s="76" t="inlineStr">
        <is>
          <t>J.sem</t>
        </is>
      </c>
      <c r="B11" s="111" t="inlineStr">
        <is>
          <t>D</t>
        </is>
      </c>
      <c r="C11" s="110" t="inlineStr">
        <is>
          <t>L</t>
        </is>
      </c>
      <c r="D11" s="110" t="inlineStr">
        <is>
          <t>M</t>
        </is>
      </c>
      <c r="E11" s="110" t="inlineStr">
        <is>
          <t>M</t>
        </is>
      </c>
      <c r="F11" s="110" t="inlineStr">
        <is>
          <t>J</t>
        </is>
      </c>
      <c r="G11" s="110" t="inlineStr">
        <is>
          <t>V</t>
        </is>
      </c>
      <c r="H11" s="111" t="inlineStr">
        <is>
          <t>S</t>
        </is>
      </c>
      <c r="I11" s="112" t="inlineStr">
        <is>
          <t>D</t>
        </is>
      </c>
      <c r="J11" s="112" t="inlineStr">
        <is>
          <t>L</t>
        </is>
      </c>
      <c r="K11" s="110" t="inlineStr">
        <is>
          <t>M</t>
        </is>
      </c>
      <c r="L11" s="110" t="inlineStr">
        <is>
          <t>M</t>
        </is>
      </c>
      <c r="M11" s="110" t="inlineStr">
        <is>
          <t>J</t>
        </is>
      </c>
      <c r="N11" s="110" t="inlineStr">
        <is>
          <t>V</t>
        </is>
      </c>
      <c r="O11" s="120" t="inlineStr">
        <is>
          <t>S</t>
        </is>
      </c>
      <c r="P11" s="120" t="inlineStr">
        <is>
          <t>D</t>
        </is>
      </c>
      <c r="Q11" s="119" t="inlineStr">
        <is>
          <t>L</t>
        </is>
      </c>
    </row>
    <row r="12" ht="24.75" customHeight="1" s="67">
      <c r="A12" s="76" t="inlineStr">
        <is>
          <t>Code</t>
        </is>
      </c>
      <c r="B12" s="114" t="n"/>
      <c r="C12" s="114" t="n"/>
      <c r="D12" s="114" t="n"/>
      <c r="E12" s="114" t="n"/>
      <c r="F12" s="114" t="n"/>
      <c r="G12" s="114" t="n"/>
      <c r="H12" s="114" t="n"/>
      <c r="I12" s="139" t="n"/>
      <c r="J12" s="115" t="n"/>
      <c r="K12" s="114" t="n"/>
      <c r="L12" s="114" t="n"/>
      <c r="M12" s="114" t="n"/>
      <c r="N12" s="114" t="n"/>
      <c r="O12" s="114" t="n"/>
      <c r="P12" s="114" t="n"/>
      <c r="Q12" s="114" t="n"/>
    </row>
    <row r="13" ht="15" customHeight="1" s="67">
      <c r="A13" s="76" t="inlineStr">
        <is>
          <t>Période</t>
        </is>
      </c>
      <c r="B13" s="118" t="inlineStr">
        <is>
          <t>P8</t>
        </is>
      </c>
      <c r="C13" s="118" t="inlineStr">
        <is>
          <t>P8</t>
        </is>
      </c>
      <c r="D13" s="118" t="inlineStr">
        <is>
          <t>P8</t>
        </is>
      </c>
      <c r="E13" s="118" t="inlineStr">
        <is>
          <t>P8</t>
        </is>
      </c>
      <c r="F13" s="118" t="inlineStr">
        <is>
          <t>P8</t>
        </is>
      </c>
      <c r="G13" s="118" t="inlineStr">
        <is>
          <t>P8</t>
        </is>
      </c>
      <c r="H13" s="118" t="inlineStr">
        <is>
          <t>P8</t>
        </is>
      </c>
      <c r="I13" s="117" t="inlineStr">
        <is>
          <t>P8</t>
        </is>
      </c>
      <c r="J13" s="117" t="inlineStr">
        <is>
          <t>P9</t>
        </is>
      </c>
      <c r="K13" s="118" t="inlineStr">
        <is>
          <t>P9</t>
        </is>
      </c>
      <c r="L13" s="118" t="inlineStr">
        <is>
          <t>P9</t>
        </is>
      </c>
      <c r="M13" s="118" t="inlineStr">
        <is>
          <t>P9</t>
        </is>
      </c>
      <c r="N13" s="118" t="inlineStr">
        <is>
          <t>P9</t>
        </is>
      </c>
      <c r="O13" s="118" t="inlineStr">
        <is>
          <t>P9</t>
        </is>
      </c>
      <c r="P13" s="118" t="inlineStr">
        <is>
          <t>P9</t>
        </is>
      </c>
      <c r="Q13" s="118" t="inlineStr">
        <is>
          <t>P9</t>
        </is>
      </c>
    </row>
    <row r="16" ht="15" customHeight="1" s="67">
      <c r="A16" s="104" t="inlineStr">
        <is>
          <t>Prestations</t>
        </is>
      </c>
      <c r="B16" s="104" t="inlineStr">
        <is>
          <t>Jours</t>
        </is>
      </c>
      <c r="C16" s="104" t="inlineStr">
        <is>
          <t>H. Totales</t>
        </is>
      </c>
      <c r="D16" s="104" t="inlineStr">
        <is>
          <t>H. Nuit</t>
        </is>
      </c>
      <c r="E16" s="104" t="inlineStr">
        <is>
          <t>Couleur</t>
        </is>
      </c>
      <c r="F16" s="106" t="n"/>
      <c r="G16" s="106" t="n"/>
      <c r="H16" s="106" t="n"/>
      <c r="I16" s="106" t="n"/>
      <c r="J16" s="106" t="n"/>
    </row>
    <row r="17">
      <c r="A17" s="105" t="inlineStr">
        <is>
          <t>101</t>
        </is>
      </c>
      <c r="B17" s="105">
        <f>COUNTIF(B6:P6,"101")+COUNTIF(B12:R12,"101")</f>
        <v/>
      </c>
      <c r="C17" s="105">
        <f>B17*8</f>
        <v/>
      </c>
      <c r="D17" s="105">
        <f>B17*2</f>
        <v/>
      </c>
      <c r="E17" s="121" t="n"/>
      <c r="F17" s="106" t="n"/>
      <c r="G17" s="106" t="n"/>
      <c r="H17" s="106" t="n"/>
      <c r="I17" s="106" t="n"/>
      <c r="J17" s="106" t="n"/>
    </row>
    <row r="18" ht="15" customHeight="1" s="67">
      <c r="A18" s="105" t="inlineStr">
        <is>
          <t>102</t>
        </is>
      </c>
      <c r="B18" s="105">
        <f>COUNTIF(B6:P6,"102")+COUNTIF(B12:R12,"102")</f>
        <v/>
      </c>
      <c r="C18" s="105">
        <f>B18*8</f>
        <v/>
      </c>
      <c r="D18" s="105">
        <f>B18*2</f>
        <v/>
      </c>
      <c r="E18" s="122" t="n"/>
      <c r="F18" s="106" t="n"/>
      <c r="G18" s="106" t="n"/>
      <c r="H18" s="106" t="n"/>
      <c r="I18" s="106" t="n"/>
      <c r="J18" s="106" t="n"/>
    </row>
    <row r="19" ht="15" customHeight="1" s="67">
      <c r="A19" s="105" t="inlineStr">
        <is>
          <t>111</t>
        </is>
      </c>
      <c r="B19" s="105">
        <f>COUNTIF(B6:P6,"111")+COUNTIF(B12:R12,"111")</f>
        <v/>
      </c>
      <c r="C19" s="105">
        <f>B19*8</f>
        <v/>
      </c>
      <c r="D19" s="105">
        <f>B19*2</f>
        <v/>
      </c>
      <c r="E19" s="123" t="n"/>
      <c r="F19" s="106" t="n"/>
      <c r="G19" s="106" t="n"/>
      <c r="H19" s="106" t="n"/>
      <c r="I19" s="106" t="n"/>
      <c r="J19" s="106" t="n"/>
    </row>
    <row r="20" ht="15" customHeight="1" s="67">
      <c r="A20" s="105" t="inlineStr">
        <is>
          <t>112</t>
        </is>
      </c>
      <c r="B20" s="105">
        <f>COUNTIF(B6:P6,"112")+COUNTIF(B12:R12,"112")</f>
        <v/>
      </c>
      <c r="C20" s="105">
        <f>B20*8</f>
        <v/>
      </c>
      <c r="D20" s="105">
        <f>B20*2</f>
        <v/>
      </c>
      <c r="E20" s="124" t="n"/>
      <c r="F20" s="106" t="n"/>
      <c r="G20" s="106" t="n"/>
      <c r="H20" s="106" t="n"/>
      <c r="I20" s="106" t="n"/>
      <c r="J20" s="106" t="n"/>
    </row>
    <row r="21" ht="15" customHeight="1" s="67">
      <c r="A21" s="105" t="inlineStr">
        <is>
          <t>121</t>
        </is>
      </c>
      <c r="B21" s="105">
        <f>COUNTIF(B6:P6,"121")+COUNTIF(B12:R12,"121")</f>
        <v/>
      </c>
      <c r="C21" s="105">
        <f>B21*8</f>
        <v/>
      </c>
      <c r="D21" s="105">
        <f>B21*8</f>
        <v/>
      </c>
      <c r="E21" s="125" t="n"/>
      <c r="F21" s="106" t="n"/>
      <c r="G21" s="106" t="n"/>
      <c r="H21" s="106" t="n"/>
      <c r="I21" s="106" t="n"/>
      <c r="J21" s="106" t="n"/>
    </row>
    <row r="22" ht="15" customHeight="1" s="67">
      <c r="A22" s="105" t="inlineStr">
        <is>
          <t>6101</t>
        </is>
      </c>
      <c r="B22" s="105">
        <f>COUNTIF(B6:P6,"6101")+COUNTIF(B12:R12,"6101")</f>
        <v/>
      </c>
      <c r="C22" s="105">
        <f>B22*8</f>
        <v/>
      </c>
      <c r="D22" s="105">
        <f>B22*2</f>
        <v/>
      </c>
      <c r="E22" s="121" t="n"/>
      <c r="F22" s="106" t="n"/>
      <c r="G22" s="106" t="n"/>
      <c r="H22" s="106" t="n"/>
      <c r="I22" s="106" t="n"/>
      <c r="J22" s="106" t="n"/>
    </row>
    <row r="23" ht="15" customHeight="1" s="67">
      <c r="A23" s="105" t="inlineStr">
        <is>
          <t>6102</t>
        </is>
      </c>
      <c r="B23" s="105">
        <f>COUNTIF(B6:P6,"6102")+COUNTIF(B12:R12,"6102")</f>
        <v/>
      </c>
      <c r="C23" s="105">
        <f>B23*8</f>
        <v/>
      </c>
      <c r="D23" s="105">
        <f>B23*2</f>
        <v/>
      </c>
      <c r="E23" s="122" t="n"/>
      <c r="F23" s="106" t="n"/>
      <c r="G23" s="106" t="n"/>
      <c r="H23" s="106" t="n"/>
      <c r="I23" s="106" t="n"/>
      <c r="J23" s="106" t="n"/>
    </row>
    <row r="24" ht="15" customHeight="1" s="67">
      <c r="A24" s="105" t="inlineStr">
        <is>
          <t>6111</t>
        </is>
      </c>
      <c r="B24" s="105">
        <f>COUNTIF(B6:P6,"6111")+COUNTIF(B12:R12,"6111")</f>
        <v/>
      </c>
      <c r="C24" s="105">
        <f>B24*8</f>
        <v/>
      </c>
      <c r="D24" s="105">
        <f>B24*2</f>
        <v/>
      </c>
      <c r="E24" s="123" t="n"/>
      <c r="F24" s="106" t="n"/>
      <c r="G24" s="106" t="n"/>
      <c r="H24" s="106" t="n"/>
      <c r="I24" s="106" t="n"/>
      <c r="J24" s="106" t="n"/>
    </row>
    <row r="25" ht="15" customHeight="1" s="67">
      <c r="A25" s="105" t="inlineStr">
        <is>
          <t>6112</t>
        </is>
      </c>
      <c r="B25" s="105">
        <f>COUNTIF(B6:P6,"6112")+COUNTIF(B12:R12,"6112")</f>
        <v/>
      </c>
      <c r="C25" s="105">
        <f>B25*8</f>
        <v/>
      </c>
      <c r="D25" s="105">
        <f>B25*2</f>
        <v/>
      </c>
      <c r="E25" s="124" t="n"/>
      <c r="F25" s="106" t="n"/>
      <c r="G25" s="106" t="n"/>
      <c r="H25" s="106" t="n"/>
      <c r="I25" s="106" t="n"/>
      <c r="J25" s="106" t="n"/>
    </row>
    <row r="26" ht="15" customHeight="1" s="67">
      <c r="A26" s="105" t="inlineStr">
        <is>
          <t>6121</t>
        </is>
      </c>
      <c r="B26" s="105">
        <f>COUNTIF(B6:P6,"6121")+COUNTIF(B12:R12,"6121")</f>
        <v/>
      </c>
      <c r="C26" s="105">
        <f>B26*8</f>
        <v/>
      </c>
      <c r="D26" s="105">
        <f>B26*8</f>
        <v/>
      </c>
      <c r="E26" s="125" t="n"/>
      <c r="F26" s="106" t="n"/>
      <c r="G26" s="106" t="n"/>
      <c r="H26" s="106" t="n"/>
      <c r="I26" s="106" t="n"/>
      <c r="J26" s="106" t="n"/>
    </row>
    <row r="27" ht="15" customHeight="1" s="67">
      <c r="A27" s="105" t="inlineStr">
        <is>
          <t>7101</t>
        </is>
      </c>
      <c r="B27" s="105">
        <f>COUNTIF(B6:P6,"7101")+COUNTIF(B12:R12,"7101")</f>
        <v/>
      </c>
      <c r="C27" s="105">
        <f>B27*8</f>
        <v/>
      </c>
      <c r="D27" s="105">
        <f>B27*2</f>
        <v/>
      </c>
      <c r="E27" s="121" t="n"/>
      <c r="F27" s="106" t="n"/>
      <c r="G27" s="106" t="n"/>
      <c r="H27" s="106" t="n"/>
      <c r="I27" s="106" t="n"/>
      <c r="J27" s="106" t="n"/>
    </row>
    <row r="28" ht="15" customHeight="1" s="67">
      <c r="A28" s="105" t="inlineStr">
        <is>
          <t>7102</t>
        </is>
      </c>
      <c r="B28" s="105">
        <f>COUNTIF(B6:P6,"7102")+COUNTIF(B12:R12,"7102")</f>
        <v/>
      </c>
      <c r="C28" s="105">
        <f>B28*8</f>
        <v/>
      </c>
      <c r="D28" s="105">
        <f>B28*2</f>
        <v/>
      </c>
      <c r="E28" s="122" t="n"/>
      <c r="F28" s="106" t="n"/>
      <c r="G28" s="106" t="n"/>
      <c r="H28" s="106" t="n"/>
      <c r="I28" s="106" t="n"/>
      <c r="J28" s="106" t="n"/>
    </row>
    <row r="29" ht="15" customHeight="1" s="67">
      <c r="A29" s="105" t="inlineStr">
        <is>
          <t>7111</t>
        </is>
      </c>
      <c r="B29" s="105">
        <f>COUNTIF(B6:P6,"7111")+COUNTIF(B12:R12,"7111")</f>
        <v/>
      </c>
      <c r="C29" s="105">
        <f>B29*8</f>
        <v/>
      </c>
      <c r="D29" s="105">
        <f>B29*2</f>
        <v/>
      </c>
      <c r="E29" s="123" t="n"/>
      <c r="F29" s="106" t="n"/>
      <c r="G29" s="106" t="n"/>
      <c r="H29" s="106" t="n"/>
      <c r="I29" s="106" t="n"/>
      <c r="J29" s="106" t="n"/>
    </row>
    <row r="30" ht="15" customHeight="1" s="67">
      <c r="A30" s="105" t="inlineStr">
        <is>
          <t>7112</t>
        </is>
      </c>
      <c r="B30" s="105">
        <f>COUNTIF(B6:P6,"7112")+COUNTIF(B12:R12,"7112")</f>
        <v/>
      </c>
      <c r="C30" s="105">
        <f>B30*8</f>
        <v/>
      </c>
      <c r="D30" s="105">
        <f>B30*2</f>
        <v/>
      </c>
      <c r="E30" s="124" t="n"/>
      <c r="F30" s="106" t="n"/>
      <c r="G30" s="106" t="n"/>
      <c r="H30" s="106" t="n"/>
      <c r="I30" s="106" t="n"/>
      <c r="J30" s="106" t="n"/>
    </row>
    <row r="31" ht="15" customHeight="1" s="67">
      <c r="A31" s="105" t="inlineStr">
        <is>
          <t>7121</t>
        </is>
      </c>
      <c r="B31" s="105">
        <f>COUNTIF(B6:P6,"7121")+COUNTIF(B12:R12,"7121")</f>
        <v/>
      </c>
      <c r="C31" s="105">
        <f>B31*8</f>
        <v/>
      </c>
      <c r="D31" s="105">
        <f>B31*8</f>
        <v/>
      </c>
      <c r="E31" s="125" t="n"/>
      <c r="F31" s="106" t="n"/>
      <c r="G31" s="106" t="n"/>
      <c r="H31" s="106" t="n"/>
      <c r="I31" s="106" t="n"/>
      <c r="J31" s="106" t="n"/>
    </row>
    <row r="32" ht="15" customHeight="1" s="67">
      <c r="A32" s="105" t="inlineStr">
        <is>
          <t>X_AM</t>
        </is>
      </c>
      <c r="B32" s="105">
        <f>COUNTIF(B6:P6,"X_AM")+COUNTIF(B12:R12,"X_AM")</f>
        <v/>
      </c>
      <c r="C32" s="105">
        <f>B32*8</f>
        <v/>
      </c>
      <c r="D32" s="105">
        <f>B32*2</f>
        <v/>
      </c>
      <c r="E32" s="126" t="n"/>
      <c r="F32" s="106" t="n"/>
      <c r="G32" s="106" t="n"/>
      <c r="H32" s="106" t="n"/>
      <c r="I32" s="106" t="n"/>
      <c r="J32" s="106" t="n"/>
    </row>
    <row r="33" ht="15" customHeight="1" s="67">
      <c r="A33" s="105" t="inlineStr">
        <is>
          <t>X_PM</t>
        </is>
      </c>
      <c r="B33" s="105">
        <f>COUNTIF(B6:P6,"X_PM")+COUNTIF(B12:R12,"X_PM")</f>
        <v/>
      </c>
      <c r="C33" s="105">
        <f>B33*8</f>
        <v/>
      </c>
      <c r="D33" s="105">
        <f>B33*2</f>
        <v/>
      </c>
      <c r="E33" s="126" t="n"/>
      <c r="F33" s="106" t="n"/>
      <c r="G33" s="106" t="n"/>
      <c r="H33" s="106" t="n"/>
      <c r="I33" s="106" t="n"/>
      <c r="J33" s="106" t="n"/>
    </row>
    <row r="34" ht="15" customHeight="1" s="67">
      <c r="A34" s="105" t="inlineStr">
        <is>
          <t>X_10</t>
        </is>
      </c>
      <c r="B34" s="105">
        <f>COUNTIF(B6:P6,"X_10")+COUNTIF(B12:R12,"X_10")</f>
        <v/>
      </c>
      <c r="C34" s="105">
        <f>B34*8</f>
        <v/>
      </c>
      <c r="D34" s="105" t="n">
        <v>0</v>
      </c>
      <c r="E34" s="127" t="n"/>
      <c r="F34" s="106" t="n"/>
      <c r="G34" s="106" t="n"/>
      <c r="H34" s="106" t="n"/>
      <c r="I34" s="106" t="n"/>
      <c r="J34" s="106" t="n"/>
    </row>
    <row r="35" ht="15" customHeight="1" s="67">
      <c r="A35" s="105" t="inlineStr">
        <is>
          <t>AG</t>
        </is>
      </c>
      <c r="B35" s="105">
        <f>COUNTIF(B6:P6,"AG")+COUNTIF(B12:R12,"AG")</f>
        <v/>
      </c>
      <c r="C35" s="105">
        <f>B35*8</f>
        <v/>
      </c>
      <c r="D35" s="105" t="n">
        <v>0</v>
      </c>
      <c r="E35" s="128" t="n"/>
      <c r="F35" s="106" t="n"/>
      <c r="G35" s="106" t="n"/>
      <c r="H35" s="106" t="n"/>
      <c r="I35" s="106" t="n"/>
      <c r="J35" s="106" t="n"/>
    </row>
    <row r="36" ht="15" customHeight="1" s="67">
      <c r="A36" s="129" t="inlineStr">
        <is>
          <t>TOTAL</t>
        </is>
      </c>
      <c r="B36" s="129">
        <f>SUM(B17:B35)</f>
        <v/>
      </c>
      <c r="C36" s="129">
        <f>SUM(C17:C35)</f>
        <v/>
      </c>
      <c r="D36" s="129">
        <f>SUM(D17:D35)</f>
        <v/>
      </c>
      <c r="E36" s="129" t="n"/>
      <c r="F36" s="106" t="n"/>
      <c r="G36" s="106" t="n"/>
      <c r="H36" s="106" t="n"/>
      <c r="I36" s="106" t="n"/>
      <c r="J36" s="106" t="n"/>
    </row>
    <row r="37" ht="15" customHeight="1" s="67">
      <c r="A37" s="130" t="n"/>
      <c r="B37" s="130" t="n"/>
      <c r="C37" s="130" t="n"/>
      <c r="D37" s="130" t="n"/>
      <c r="E37" s="130" t="n"/>
      <c r="F37" s="106" t="n"/>
      <c r="G37" s="106" t="n"/>
      <c r="H37" s="106" t="n"/>
      <c r="I37" s="106" t="n"/>
      <c r="J37" s="106" t="n"/>
    </row>
    <row r="38" ht="15" customHeight="1" s="67">
      <c r="A38" s="104" t="inlineStr">
        <is>
          <t>REPOS</t>
        </is>
      </c>
      <c r="B38" s="104" t="inlineStr">
        <is>
          <t>Jours</t>
        </is>
      </c>
      <c r="C38" s="104" t="inlineStr">
        <is>
          <t>H. Totales</t>
        </is>
      </c>
      <c r="D38" s="104" t="inlineStr">
        <is>
          <t>H. Nuit</t>
        </is>
      </c>
      <c r="E38" s="104" t="inlineStr">
        <is>
          <t>Couleur</t>
        </is>
      </c>
      <c r="F38" s="106" t="n"/>
      <c r="G38" s="106" t="n"/>
      <c r="H38" s="106" t="n"/>
      <c r="I38" s="106" t="n"/>
      <c r="J38" s="106" t="n"/>
    </row>
    <row r="39" ht="15" customHeight="1" s="67">
      <c r="A39" s="105" t="inlineStr">
        <is>
          <t>CN</t>
        </is>
      </c>
      <c r="B39" s="105">
        <f>COUNTIF(B6:P6,"CN")+COUNTIF(B12:R12,"CN")</f>
        <v/>
      </c>
      <c r="C39" s="105">
        <f>B39*8</f>
        <v/>
      </c>
      <c r="D39" s="105" t="n">
        <v>0</v>
      </c>
      <c r="E39" s="131" t="n"/>
      <c r="F39" s="106" t="n"/>
      <c r="G39" s="106" t="n"/>
      <c r="H39" s="106" t="n"/>
      <c r="I39" s="106" t="n"/>
      <c r="J39" s="106" t="n"/>
    </row>
    <row r="40" ht="15" customHeight="1" s="67">
      <c r="A40" s="105" t="inlineStr">
        <is>
          <t>JC</t>
        </is>
      </c>
      <c r="B40" s="105">
        <f>COUNTIF(B6:P6,"JC")+COUNTIF(B12:R12,"JC")</f>
        <v/>
      </c>
      <c r="C40" s="105">
        <f>B40*8</f>
        <v/>
      </c>
      <c r="D40" s="105" t="n">
        <v>0</v>
      </c>
      <c r="E40" s="131" t="n"/>
      <c r="F40" s="106" t="n"/>
      <c r="G40" s="106" t="n"/>
      <c r="H40" s="106" t="n"/>
      <c r="I40" s="106" t="n"/>
      <c r="J40" s="106" t="n"/>
    </row>
    <row r="41" ht="15" customHeight="1" s="67">
      <c r="A41" s="105" t="inlineStr">
        <is>
          <t>RH</t>
        </is>
      </c>
      <c r="B41" s="105">
        <f>COUNTIF(B6:P6,"RH")+COUNTIF(B12:R12,"RH")</f>
        <v/>
      </c>
      <c r="C41" s="105" t="n">
        <v>0</v>
      </c>
      <c r="D41" s="105" t="n">
        <v>0</v>
      </c>
      <c r="E41" s="132" t="n"/>
      <c r="F41" s="106" t="n"/>
      <c r="G41" s="106" t="n"/>
      <c r="H41" s="106" t="n"/>
      <c r="I41" s="106" t="n"/>
      <c r="J41" s="106" t="n"/>
    </row>
    <row r="42" ht="15" customHeight="1" s="67">
      <c r="A42" s="105" t="inlineStr">
        <is>
          <t>CH</t>
        </is>
      </c>
      <c r="B42" s="105">
        <f>COUNTIF(B6:P6,"CH")+COUNTIF(B12:R12,"CH")</f>
        <v/>
      </c>
      <c r="C42" s="105" t="n">
        <v>0</v>
      </c>
      <c r="D42" s="105" t="n">
        <v>0</v>
      </c>
      <c r="E42" s="133" t="n"/>
      <c r="F42" s="106" t="n"/>
      <c r="G42" s="106" t="n"/>
      <c r="H42" s="106" t="n"/>
      <c r="I42" s="106" t="n"/>
      <c r="J42" s="106" t="n"/>
    </row>
    <row r="43" ht="15" customHeight="1" s="67">
      <c r="A43" s="105" t="inlineStr">
        <is>
          <t>RR</t>
        </is>
      </c>
      <c r="B43" s="105">
        <f>COUNTIF(B6:P6,"RR")+COUNTIF(B12:R12,"RR")</f>
        <v/>
      </c>
      <c r="C43" s="105">
        <f>B43*8</f>
        <v/>
      </c>
      <c r="D43" s="105" t="n">
        <v>0</v>
      </c>
      <c r="E43" s="134" t="n"/>
      <c r="F43" s="106" t="n"/>
      <c r="G43" s="106" t="n"/>
      <c r="H43" s="106" t="n"/>
      <c r="I43" s="106" t="n"/>
      <c r="J43" s="106" t="n"/>
    </row>
    <row r="44">
      <c r="A44" s="105" t="inlineStr">
        <is>
          <t>CV</t>
        </is>
      </c>
      <c r="B44" s="105">
        <f>COUNTIF(B6:P6,"CV")+COUNTIF(B12:R12,"CV")</f>
        <v/>
      </c>
      <c r="C44" s="105">
        <f>B44*8</f>
        <v/>
      </c>
      <c r="D44" s="105" t="n">
        <v>0</v>
      </c>
      <c r="E44" s="135" t="n"/>
      <c r="F44" s="106" t="n"/>
      <c r="G44" s="106" t="n"/>
      <c r="H44" s="106" t="n"/>
      <c r="I44" s="106" t="n"/>
      <c r="J44" s="106" t="n"/>
    </row>
    <row r="45" ht="15" customHeight="1" s="67">
      <c r="A45" s="105" t="inlineStr">
        <is>
          <t>ZM</t>
        </is>
      </c>
      <c r="B45" s="105">
        <f>COUNTIF(B6:P6,"ZM")+COUNTIF(B12:R12,"ZM")</f>
        <v/>
      </c>
      <c r="C45" s="105">
        <f>B45*8</f>
        <v/>
      </c>
      <c r="D45" s="105" t="n">
        <v>0</v>
      </c>
      <c r="E45" s="136" t="n"/>
      <c r="F45" s="106" t="n"/>
      <c r="G45" s="106" t="n"/>
      <c r="H45" s="106" t="n"/>
      <c r="I45" s="106" t="n"/>
      <c r="J45" s="106" t="n"/>
    </row>
    <row r="46">
      <c r="A46" s="129" t="inlineStr">
        <is>
          <t>TOTAL</t>
        </is>
      </c>
      <c r="B46" s="129">
        <f>SUM(B39:B45)</f>
        <v/>
      </c>
      <c r="C46" s="129">
        <f>SUM(C39:C45)</f>
        <v/>
      </c>
      <c r="D46" s="129">
        <f>SUM(D39:D45)</f>
        <v/>
      </c>
      <c r="E46" s="129" t="n"/>
      <c r="F46" s="106" t="n"/>
      <c r="G46" s="106" t="n"/>
      <c r="H46" s="106" t="n"/>
      <c r="I46" s="106" t="n"/>
      <c r="J46" s="106" t="n"/>
    </row>
    <row r="47" ht="15" customHeight="1" s="67">
      <c r="A47" s="130" t="n"/>
      <c r="B47" s="130" t="n"/>
      <c r="C47" s="130" t="n"/>
      <c r="D47" s="130" t="n"/>
      <c r="E47" s="106" t="n"/>
      <c r="F47" s="106" t="n"/>
      <c r="G47" s="106" t="n"/>
      <c r="H47" s="106" t="n"/>
      <c r="I47" s="106" t="n"/>
      <c r="J47" s="106" t="n"/>
    </row>
    <row r="48" ht="15" customHeight="1" s="67">
      <c r="A48" s="137" t="inlineStr">
        <is>
          <t>Total Heures</t>
        </is>
      </c>
      <c r="B48" s="130" t="n"/>
      <c r="C48" s="137">
        <f>C36+C46</f>
        <v/>
      </c>
      <c r="D48" s="130" t="n"/>
      <c r="E48" s="106" t="n"/>
      <c r="F48" s="106" t="n"/>
      <c r="G48" s="106" t="n"/>
      <c r="H48" s="106" t="n"/>
      <c r="I48" s="106" t="n"/>
      <c r="J48" s="106" t="n"/>
    </row>
    <row r="49" ht="15" customHeight="1" s="67">
      <c r="A49" s="130" t="n"/>
      <c r="B49" s="130" t="n"/>
      <c r="C49" s="130" t="n"/>
      <c r="D49" s="130" t="n"/>
      <c r="E49" s="106" t="n"/>
      <c r="F49" s="106" t="n"/>
      <c r="G49" s="106" t="n"/>
      <c r="H49" s="106" t="n"/>
      <c r="I49" s="106" t="n"/>
      <c r="J49" s="106" t="n"/>
    </row>
    <row r="50" ht="15" customHeight="1" s="67">
      <c r="A50" s="130" t="n"/>
      <c r="B50" s="130" t="n"/>
      <c r="C50" s="130" t="n"/>
      <c r="D50" s="130" t="n"/>
      <c r="E50" s="106" t="n"/>
      <c r="F50" s="106" t="n"/>
      <c r="G50" s="106" t="n"/>
      <c r="H50" s="106" t="n"/>
      <c r="I50" s="106" t="n"/>
      <c r="J50" s="106" t="n"/>
    </row>
    <row r="51" ht="15" customHeight="1" s="67">
      <c r="A51" s="130" t="n"/>
      <c r="B51" s="130" t="n"/>
      <c r="C51" s="130" t="n"/>
      <c r="D51" s="130" t="n"/>
      <c r="E51" s="106" t="n"/>
      <c r="F51" s="106" t="n"/>
      <c r="G51" s="106" t="n"/>
      <c r="H51" s="106" t="n"/>
      <c r="I51" s="106" t="n"/>
      <c r="J51" s="106" t="n"/>
    </row>
    <row r="52">
      <c r="A52" s="138" t="inlineStr">
        <is>
          <t>CONTRÔLES PAR PÉRIODE - AOÛT</t>
        </is>
      </c>
      <c r="B52" s="106" t="n"/>
      <c r="C52" s="106" t="n"/>
      <c r="D52" s="106" t="n"/>
      <c r="E52" s="106" t="n"/>
      <c r="F52" s="106" t="n"/>
      <c r="G52" s="106" t="n"/>
      <c r="H52" s="106" t="n"/>
      <c r="I52" s="106" t="n"/>
      <c r="J52" s="106" t="n"/>
    </row>
    <row r="53" ht="15" customHeight="1" s="67">
      <c r="A53" s="130" t="n"/>
      <c r="B53" s="106" t="n"/>
      <c r="C53" s="106" t="n"/>
      <c r="D53" s="106" t="n"/>
      <c r="E53" s="106" t="n"/>
      <c r="F53" s="106" t="n"/>
      <c r="G53" s="106" t="n"/>
      <c r="H53" s="106" t="n"/>
      <c r="I53" s="106" t="n"/>
      <c r="J53" s="106" t="n"/>
    </row>
    <row r="54">
      <c r="A54" s="104" t="inlineStr">
        <is>
          <t>Période</t>
        </is>
      </c>
      <c r="B54" s="104" t="inlineStr">
        <is>
          <t>Heures</t>
        </is>
      </c>
      <c r="C54" s="104" t="inlineStr">
        <is>
          <t>CH</t>
        </is>
      </c>
      <c r="D54" s="104" t="inlineStr">
        <is>
          <t>RH</t>
        </is>
      </c>
      <c r="E54" s="104" t="inlineStr">
        <is>
          <t>CV</t>
        </is>
      </c>
      <c r="F54" s="104" t="inlineStr">
        <is>
          <t>RR</t>
        </is>
      </c>
      <c r="G54" s="104" t="inlineStr">
        <is>
          <t>Férié Trav.</t>
        </is>
      </c>
      <c r="H54" s="104" t="inlineStr">
        <is>
          <t>Statut</t>
        </is>
      </c>
      <c r="I54" s="106" t="n"/>
      <c r="J54" s="106" t="n"/>
    </row>
    <row r="55" ht="15" customHeight="1" s="67">
      <c r="A55" s="105" t="inlineStr">
        <is>
          <t>P8</t>
        </is>
      </c>
      <c r="B55" s="105">
        <f>(COUNTIF('Juillet'!M12:Q12,"101") + COUNTIF('Août'!B6:P6,"101") + COUNTIF('Août'!B12:I12,"101") + COUNTIF('Juillet'!M12:Q12,"102") + COUNTIF('Août'!B6:P6,"102") + COUNTIF('Août'!B12:I12,"102") + COUNTIF('Juillet'!M12:Q12,"111") + COUNTIF('Août'!B6:P6,"111") + COUNTIF('Août'!B12:I12,"111") + COUNTIF('Juillet'!M12:Q12,"112") + COUNTIF('Août'!B6:P6,"112") + COUNTIF('Août'!B12:I12,"112") + COUNTIF('Juillet'!M12:Q12,"121") + COUNTIF('Août'!B6:P6,"121") + COUNTIF('Août'!B12:I12,"121") + COUNTIF('Juillet'!M12:Q12,"6101") + COUNTIF('Août'!B6:P6,"6101") + COUNTIF('Août'!B12:I12,"6101") + COUNTIF('Juillet'!M12:Q12,"6102") + COUNTIF('Août'!B6:P6,"6102") + COUNTIF('Août'!B12:I12,"6102") + COUNTIF('Juillet'!M12:Q12,"6111") + COUNTIF('Août'!B6:P6,"6111") + COUNTIF('Août'!B12:I12,"6111") + COUNTIF('Juillet'!M12:Q12,"6112") + COUNTIF('Août'!B6:P6,"6112") + COUNTIF('Août'!B12:I12,"6112") + COUNTIF('Juillet'!M12:Q12,"6121") + COUNTIF('Août'!B6:P6,"6121") + COUNTIF('Août'!B12:I12,"6121") + COUNTIF('Juillet'!M12:Q12,"7101") + COUNTIF('Août'!B6:P6,"7101") + COUNTIF('Août'!B12:I12,"7101") + COUNTIF('Juillet'!M12:Q12,"7102") + COUNTIF('Août'!B6:P6,"7102") + COUNTIF('Août'!B12:I12,"7102") + COUNTIF('Juillet'!M12:Q12,"7111") + COUNTIF('Août'!B6:P6,"7111") + COUNTIF('Août'!B12:I12,"7111") + COUNTIF('Juillet'!M12:Q12,"7112") + COUNTIF('Août'!B6:P6,"7112") + COUNTIF('Août'!B12:I12,"7112") + COUNTIF('Juillet'!M12:Q12,"7121") + COUNTIF('Août'!B6:P6,"7121") + COUNTIF('Août'!B12:I12,"7121") + COUNTIF('Juillet'!M12:Q12,"X_AM") + COUNTIF('Août'!B6:P6,"X_AM") + COUNTIF('Août'!B12:I12,"X_AM") + COUNTIF('Juillet'!M12:Q12,"X_PM") + COUNTIF('Août'!B6:P6,"X_PM") + COUNTIF('Août'!B12:I12,"X_PM") + COUNTIF('Juillet'!M12:Q12,"X_10") + COUNTIF('Août'!B6:P6,"X_10") + COUNTIF('Août'!B12:I12,"X_10") + COUNTIF('Juillet'!M12:Q12,"AG") + COUNTIF('Août'!B6:P6,"AG") + COUNTIF('Août'!B12:I12,"AG") + COUNTIF('Juillet'!M12:Q12,"CN") + COUNTIF('Août'!B6:P6,"CN") + COUNTIF('Août'!B12:I12,"CN") + COUNTIF('Juillet'!M12:Q12,"JC") + COUNTIF('Août'!B6:P6,"JC") + COUNTIF('Août'!B12:I12,"JC") + COUNTIF('Juillet'!M12:Q12,"RR") + COUNTIF('Août'!B6:P6,"RR") + COUNTIF('Août'!B12:I12,"RR") + COUNTIF('Juillet'!M12:Q12,"ZM") + COUNTIF('Août'!B6:P6,"ZM") + COUNTIF('Août'!B12:I12,"ZM") + COUNTIF('Juillet'!M12:Q12,"CV") + COUNTIF('Août'!B6:P6,"CV") + COUNTIF('Août'!B12:I12,"CV"))*8</f>
        <v/>
      </c>
      <c r="C55" s="105">
        <f>COUNTIF('Juillet'!M12:Q12,"CH")+COUNTIF('Août'!B6:P6,"CH")+COUNTIF('Août'!B12:I12,"CH")</f>
        <v/>
      </c>
      <c r="D55" s="105">
        <f>COUNTIF('Juillet'!M12:Q12,"RH")+COUNTIF('Août'!B6:P6,"RH")+COUNTIF('Août'!B12:I12,"RH")</f>
        <v/>
      </c>
      <c r="E55" s="105">
        <f>COUNTIF('Juillet'!M12:Q12,"CV")+COUNTIF('Août'!B6:P6,"CV")+COUNTIF('Août'!B12:I12,"CV")</f>
        <v/>
      </c>
      <c r="F55" s="105">
        <f>COUNTIF('Juillet'!M12:Q12,"RR")+COUNTIF('Août'!B6:P6,"RR")+COUNTIF('Août'!B12:I12,"RR")</f>
        <v/>
      </c>
      <c r="G55" s="105">
        <f>SUM(COUNTIF('Août'!P6,{7101,7102,7111,7112,7121}))</f>
        <v/>
      </c>
      <c r="H55" s="105">
        <f>IF(B55&gt;160,"⚠ &gt;160h",IF(C55&lt;&gt;4,"⚠ CH≠4",IF(D55&lt;&gt;4,"⚠ RH≠4",IF(E55&lt;&gt;1,"⚠ CV≠1",IF(AND(G55&gt;0,F55=0),"⚠ RR manquant","✓ OK")))))</f>
        <v/>
      </c>
      <c r="I55" s="106" t="n"/>
      <c r="J55" s="106" t="n"/>
    </row>
    <row r="56" ht="15" customHeight="1" s="67">
      <c r="A56" s="105" t="inlineStr">
        <is>
          <t>P9</t>
        </is>
      </c>
      <c r="B56" s="105">
        <f>(COUNTIF('Août'!J12:Q12,"101") + COUNTIF('Septembre'!B6:P6,"101") + COUNTIF('Septembre'!B12:F12,"101") + COUNTIF('Août'!J12:Q12,"102") + COUNTIF('Septembre'!B6:P6,"102") + COUNTIF('Septembre'!B12:F12,"102") + COUNTIF('Août'!J12:Q12,"111") + COUNTIF('Septembre'!B6:P6,"111") + COUNTIF('Septembre'!B12:F12,"111") + COUNTIF('Août'!J12:Q12,"112") + COUNTIF('Septembre'!B6:P6,"112") + COUNTIF('Septembre'!B12:F12,"112") + COUNTIF('Août'!J12:Q12,"121") + COUNTIF('Septembre'!B6:P6,"121") + COUNTIF('Septembre'!B12:F12,"121") + COUNTIF('Août'!J12:Q12,"6101") + COUNTIF('Septembre'!B6:P6,"6101") + COUNTIF('Septembre'!B12:F12,"6101") + COUNTIF('Août'!J12:Q12,"6102") + COUNTIF('Septembre'!B6:P6,"6102") + COUNTIF('Septembre'!B12:F12,"6102") + COUNTIF('Août'!J12:Q12,"6111") + COUNTIF('Septembre'!B6:P6,"6111") + COUNTIF('Septembre'!B12:F12,"6111") + COUNTIF('Août'!J12:Q12,"6112") + COUNTIF('Septembre'!B6:P6,"6112") + COUNTIF('Septembre'!B12:F12,"6112") + COUNTIF('Août'!J12:Q12,"6121") + COUNTIF('Septembre'!B6:P6,"6121") + COUNTIF('Septembre'!B12:F12,"6121") + COUNTIF('Août'!J12:Q12,"7101") + COUNTIF('Septembre'!B6:P6,"7101") + COUNTIF('Septembre'!B12:F12,"7101") + COUNTIF('Août'!J12:Q12,"7102") + COUNTIF('Septembre'!B6:P6,"7102") + COUNTIF('Septembre'!B12:F12,"7102") + COUNTIF('Août'!J12:Q12,"7111") + COUNTIF('Septembre'!B6:P6,"7111") + COUNTIF('Septembre'!B12:F12,"7111") + COUNTIF('Août'!J12:Q12,"7112") + COUNTIF('Septembre'!B6:P6,"7112") + COUNTIF('Septembre'!B12:F12,"7112") + COUNTIF('Août'!J12:Q12,"7121") + COUNTIF('Septembre'!B6:P6,"7121") + COUNTIF('Septembre'!B12:F12,"7121") + COUNTIF('Août'!J12:Q12,"X_AM") + COUNTIF('Septembre'!B6:P6,"X_AM") + COUNTIF('Septembre'!B12:F12,"X_AM") + COUNTIF('Août'!J12:Q12,"X_PM") + COUNTIF('Septembre'!B6:P6,"X_PM") + COUNTIF('Septembre'!B12:F12,"X_PM") + COUNTIF('Août'!J12:Q12,"X_10") + COUNTIF('Septembre'!B6:P6,"X_10") + COUNTIF('Septembre'!B12:F12,"X_10") + COUNTIF('Août'!J12:Q12,"AG") + COUNTIF('Septembre'!B6:P6,"AG") + COUNTIF('Septembre'!B12:F12,"AG") + COUNTIF('Août'!J12:Q12,"CN") + COUNTIF('Septembre'!B6:P6,"CN") + COUNTIF('Septembre'!B12:F12,"CN") + COUNTIF('Août'!J12:Q12,"JC") + COUNTIF('Septembre'!B6:P6,"JC") + COUNTIF('Septembre'!B12:F12,"JC") + COUNTIF('Août'!J12:Q12,"RR") + COUNTIF('Septembre'!B6:P6,"RR") + COUNTIF('Septembre'!B12:F12,"RR") + COUNTIF('Août'!J12:Q12,"ZM") + COUNTIF('Septembre'!B6:P6,"ZM") + COUNTIF('Septembre'!B12:F12,"ZM") + COUNTIF('Août'!J12:Q12,"CV") + COUNTIF('Septembre'!B6:P6,"CV") + COUNTIF('Septembre'!B12:F12,"CV"))*8</f>
        <v/>
      </c>
      <c r="C56" s="105">
        <f>COUNTIF('Août'!J12:Q12,"CH")+COUNTIF('Septembre'!B6:P6,"CH")+COUNTIF('Septembre'!B12:F12,"CH")</f>
        <v/>
      </c>
      <c r="D56" s="105">
        <f>COUNTIF('Août'!J12:Q12,"RH")+COUNTIF('Septembre'!B6:P6,"RH")+COUNTIF('Septembre'!B12:F12,"RH")</f>
        <v/>
      </c>
      <c r="E56" s="105">
        <f>COUNTIF('Août'!J12:Q12,"CV")+COUNTIF('Septembre'!B6:P6,"CV")+COUNTIF('Septembre'!B12:F12,"CV")</f>
        <v/>
      </c>
      <c r="F56" s="105">
        <f>COUNTIF('Août'!J12:Q12,"RR")+COUNTIF('Septembre'!B6:P6,"RR")+COUNTIF('Septembre'!B12:F12,"RR")</f>
        <v/>
      </c>
      <c r="G56" s="105" t="n">
        <v>0</v>
      </c>
      <c r="H56" s="105">
        <f>IF(B56&gt;160,"⚠ &gt;160h",IF(C56&lt;&gt;4,"⚠ CH≠4",IF(D56&lt;&gt;4,"⚠ RH≠4",IF(E56&lt;&gt;1,"⚠ CV≠1",IF(AND(G56&gt;0,F56=0),"⚠ RR manquant","✓ OK")))))</f>
        <v/>
      </c>
      <c r="I56" s="106" t="n"/>
      <c r="J56" s="106" t="n"/>
    </row>
    <row r="57" ht="15" customHeight="1" s="67">
      <c r="A57" s="130" t="n"/>
      <c r="B57" s="130" t="n"/>
      <c r="C57" s="130" t="n"/>
      <c r="D57" s="130" t="n"/>
      <c r="E57" s="106" t="n"/>
      <c r="F57" s="106" t="n"/>
      <c r="G57" s="106" t="n"/>
      <c r="H57" s="106" t="n"/>
      <c r="I57" s="106" t="n"/>
      <c r="J57" s="106" t="n"/>
    </row>
    <row r="58">
      <c r="A58" s="106" t="n"/>
      <c r="B58" s="106" t="n"/>
      <c r="C58" s="106" t="n"/>
      <c r="D58" s="106" t="n"/>
      <c r="E58" s="106" t="n"/>
      <c r="F58" s="106" t="n"/>
      <c r="G58" s="106" t="n"/>
      <c r="H58" s="106" t="n"/>
      <c r="I58" s="106" t="n"/>
      <c r="J58" s="106" t="n"/>
    </row>
    <row r="59">
      <c r="A59" s="106" t="n"/>
      <c r="B59" s="106" t="n"/>
      <c r="C59" s="106" t="n"/>
      <c r="D59" s="106" t="n"/>
      <c r="E59" s="106" t="n"/>
      <c r="F59" s="106" t="n"/>
      <c r="G59" s="106" t="n"/>
      <c r="H59" s="106" t="n"/>
      <c r="I59" s="106" t="n"/>
      <c r="J59" s="106" t="n"/>
    </row>
    <row r="60">
      <c r="A60" s="106" t="n"/>
      <c r="B60" s="106" t="n"/>
      <c r="C60" s="106" t="n"/>
      <c r="D60" s="106" t="n"/>
      <c r="E60" s="106" t="n"/>
      <c r="F60" s="106" t="n"/>
      <c r="G60" s="106" t="n"/>
      <c r="H60" s="106" t="n"/>
      <c r="I60" s="106" t="n"/>
      <c r="J60" s="106" t="n"/>
    </row>
    <row r="61">
      <c r="A61" s="106" t="n"/>
      <c r="B61" s="106" t="n"/>
      <c r="C61" s="106" t="n"/>
      <c r="D61" s="106" t="n"/>
      <c r="E61" s="106" t="n"/>
      <c r="F61" s="106" t="n"/>
      <c r="G61" s="106" t="n"/>
      <c r="H61" s="106" t="n"/>
      <c r="I61" s="106" t="n"/>
      <c r="J61" s="106" t="n"/>
    </row>
    <row r="62">
      <c r="A62" s="106" t="n"/>
      <c r="B62" s="106" t="n"/>
      <c r="C62" s="106" t="n"/>
      <c r="D62" s="106" t="n"/>
      <c r="E62" s="106" t="n"/>
      <c r="F62" s="106" t="n"/>
      <c r="G62" s="106" t="n"/>
      <c r="H62" s="106" t="n"/>
      <c r="I62" s="106" t="n"/>
      <c r="J62" s="106" t="n"/>
    </row>
    <row r="63">
      <c r="A63" s="106" t="n"/>
      <c r="B63" s="106" t="n"/>
      <c r="C63" s="106" t="n"/>
      <c r="D63" s="106" t="n"/>
      <c r="E63" s="106" t="n"/>
      <c r="F63" s="106" t="n"/>
      <c r="G63" s="106" t="n"/>
      <c r="H63" s="106" t="n"/>
      <c r="I63" s="106" t="n"/>
      <c r="J63" s="106" t="n"/>
    </row>
    <row r="64">
      <c r="A64" s="106" t="n"/>
      <c r="B64" s="106" t="n"/>
      <c r="C64" s="106" t="n"/>
      <c r="D64" s="106" t="n"/>
      <c r="E64" s="106" t="n"/>
      <c r="F64" s="106" t="n"/>
      <c r="G64" s="106" t="n"/>
      <c r="H64" s="106" t="n"/>
      <c r="I64" s="106" t="n"/>
      <c r="J64" s="106" t="n"/>
    </row>
    <row r="65">
      <c r="A65" s="106" t="n"/>
      <c r="B65" s="106" t="n"/>
      <c r="C65" s="106" t="n"/>
      <c r="D65" s="106" t="n"/>
      <c r="E65" s="106" t="n"/>
      <c r="F65" s="106" t="n"/>
      <c r="G65" s="106" t="n"/>
      <c r="H65" s="106" t="n"/>
      <c r="I65" s="106" t="n"/>
      <c r="J65" s="106" t="n"/>
    </row>
    <row r="66">
      <c r="A66" s="106" t="n"/>
      <c r="B66" s="106" t="n"/>
      <c r="C66" s="106" t="n"/>
      <c r="D66" s="106" t="n"/>
      <c r="E66" s="106" t="n"/>
      <c r="F66" s="106" t="n"/>
      <c r="G66" s="106" t="n"/>
      <c r="H66" s="106" t="n"/>
      <c r="I66" s="106" t="n"/>
      <c r="J66" s="106" t="n"/>
    </row>
    <row r="67">
      <c r="A67" s="106" t="n"/>
      <c r="B67" s="106" t="n"/>
      <c r="C67" s="106" t="n"/>
      <c r="D67" s="106" t="n"/>
      <c r="E67" s="106" t="n"/>
      <c r="F67" s="106" t="n"/>
      <c r="G67" s="106" t="n"/>
      <c r="H67" s="106" t="n"/>
      <c r="I67" s="106" t="n"/>
      <c r="J67" s="106" t="n"/>
    </row>
    <row r="68">
      <c r="A68" s="106" t="n"/>
      <c r="B68" s="106" t="n"/>
      <c r="C68" s="106" t="n"/>
      <c r="D68" s="106" t="n"/>
      <c r="E68" s="106" t="n"/>
      <c r="F68" s="106" t="n"/>
      <c r="G68" s="106" t="n"/>
      <c r="H68" s="106" t="n"/>
      <c r="I68" s="106" t="n"/>
      <c r="J68" s="106" t="n"/>
    </row>
    <row r="69">
      <c r="A69" s="106" t="n"/>
      <c r="B69" s="106" t="n"/>
      <c r="C69" s="106" t="n"/>
      <c r="D69" s="106" t="n"/>
      <c r="E69" s="106" t="n"/>
      <c r="F69" s="106" t="n"/>
      <c r="G69" s="106" t="n"/>
      <c r="H69" s="106" t="n"/>
      <c r="I69" s="106" t="n"/>
      <c r="J69" s="106" t="n"/>
    </row>
    <row r="70">
      <c r="A70" s="106" t="n"/>
      <c r="B70" s="106" t="n"/>
      <c r="C70" s="106" t="n"/>
      <c r="D70" s="106" t="n"/>
      <c r="E70" s="106" t="n"/>
      <c r="F70" s="106" t="n"/>
      <c r="G70" s="106" t="n"/>
      <c r="H70" s="106" t="n"/>
      <c r="I70" s="106" t="n"/>
      <c r="J70" s="106" t="n"/>
    </row>
    <row r="71">
      <c r="A71" s="106" t="n"/>
      <c r="B71" s="106" t="n"/>
      <c r="C71" s="106" t="n"/>
      <c r="D71" s="106" t="n"/>
      <c r="E71" s="106" t="n"/>
      <c r="F71" s="106" t="n"/>
      <c r="G71" s="106" t="n"/>
      <c r="H71" s="106" t="n"/>
      <c r="I71" s="106" t="n"/>
      <c r="J71" s="106" t="n"/>
    </row>
    <row r="72">
      <c r="A72" s="106" t="n"/>
      <c r="B72" s="106" t="n"/>
      <c r="C72" s="106" t="n"/>
      <c r="D72" s="106" t="n"/>
      <c r="E72" s="106" t="n"/>
      <c r="F72" s="106" t="n"/>
      <c r="G72" s="106" t="n"/>
      <c r="H72" s="106" t="n"/>
      <c r="I72" s="106" t="n"/>
      <c r="J72" s="106" t="n"/>
    </row>
    <row r="73">
      <c r="A73" s="106" t="n"/>
      <c r="B73" s="106" t="n"/>
      <c r="C73" s="106" t="n"/>
      <c r="D73" s="106" t="n"/>
      <c r="E73" s="106" t="n"/>
      <c r="F73" s="106" t="n"/>
      <c r="G73" s="106" t="n"/>
      <c r="H73" s="106" t="n"/>
      <c r="I73" s="106" t="n"/>
      <c r="J73" s="106" t="n"/>
    </row>
    <row r="74">
      <c r="A74" s="106" t="n"/>
      <c r="B74" s="106" t="n"/>
      <c r="C74" s="106" t="n"/>
      <c r="D74" s="106" t="n"/>
      <c r="E74" s="106" t="n"/>
      <c r="F74" s="106" t="n"/>
      <c r="G74" s="106" t="n"/>
      <c r="H74" s="106" t="n"/>
      <c r="I74" s="106" t="n"/>
      <c r="J74" s="106" t="n"/>
    </row>
    <row r="75">
      <c r="A75" s="106" t="n"/>
      <c r="B75" s="106" t="n"/>
      <c r="C75" s="106" t="n"/>
      <c r="D75" s="106" t="n"/>
      <c r="E75" s="106" t="n"/>
      <c r="F75" s="106" t="n"/>
      <c r="G75" s="106" t="n"/>
      <c r="H75" s="106" t="n"/>
      <c r="I75" s="106" t="n"/>
      <c r="J75" s="106" t="n"/>
    </row>
    <row r="76">
      <c r="A76" s="106" t="n"/>
      <c r="B76" s="106" t="n"/>
      <c r="C76" s="106" t="n"/>
      <c r="D76" s="106" t="n"/>
      <c r="E76" s="106" t="n"/>
      <c r="F76" s="106" t="n"/>
      <c r="G76" s="106" t="n"/>
      <c r="H76" s="106" t="n"/>
      <c r="I76" s="106" t="n"/>
      <c r="J76" s="106" t="n"/>
    </row>
    <row r="77">
      <c r="A77" s="106" t="n"/>
      <c r="B77" s="106" t="n"/>
      <c r="C77" s="106" t="n"/>
      <c r="D77" s="106" t="n"/>
      <c r="E77" s="106" t="n"/>
      <c r="F77" s="106" t="n"/>
      <c r="G77" s="106" t="n"/>
      <c r="H77" s="106" t="n"/>
      <c r="I77" s="106" t="n"/>
      <c r="J77" s="106" t="n"/>
    </row>
    <row r="78">
      <c r="A78" s="106" t="n"/>
      <c r="B78" s="106" t="n"/>
      <c r="C78" s="106" t="n"/>
      <c r="D78" s="106" t="n"/>
      <c r="E78" s="106" t="n"/>
      <c r="F78" s="106" t="n"/>
      <c r="G78" s="106" t="n"/>
      <c r="H78" s="106" t="n"/>
      <c r="I78" s="106" t="n"/>
      <c r="J78" s="106" t="n"/>
    </row>
    <row r="79">
      <c r="A79" s="106" t="n"/>
      <c r="B79" s="106" t="n"/>
      <c r="C79" s="106" t="n"/>
      <c r="D79" s="106" t="n"/>
      <c r="E79" s="106" t="n"/>
      <c r="F79" s="106" t="n"/>
      <c r="G79" s="106" t="n"/>
      <c r="H79" s="106" t="n"/>
      <c r="I79" s="106" t="n"/>
      <c r="J79" s="106" t="n"/>
    </row>
    <row r="80">
      <c r="A80" s="106" t="n"/>
      <c r="B80" s="106" t="n"/>
      <c r="C80" s="106" t="n"/>
      <c r="D80" s="106" t="n"/>
      <c r="E80" s="106" t="n"/>
      <c r="F80" s="106" t="n"/>
      <c r="G80" s="106" t="n"/>
      <c r="H80" s="106" t="n"/>
      <c r="I80" s="106" t="n"/>
      <c r="J80" s="106" t="n"/>
    </row>
    <row r="81">
      <c r="A81" s="106" t="n"/>
      <c r="B81" s="106" t="n"/>
      <c r="C81" s="106" t="n"/>
      <c r="D81" s="106" t="n"/>
      <c r="E81" s="106" t="n"/>
      <c r="F81" s="106" t="n"/>
      <c r="G81" s="106" t="n"/>
      <c r="H81" s="106" t="n"/>
      <c r="I81" s="106" t="n"/>
      <c r="J81" s="106" t="n"/>
    </row>
    <row r="82">
      <c r="A82" s="106" t="n"/>
      <c r="B82" s="106" t="n"/>
      <c r="C82" s="106" t="n"/>
      <c r="D82" s="106" t="n"/>
      <c r="E82" s="106" t="n"/>
      <c r="F82" s="106" t="n"/>
      <c r="G82" s="106" t="n"/>
      <c r="H82" s="106" t="n"/>
      <c r="I82" s="106" t="n"/>
      <c r="J82" s="106" t="n"/>
    </row>
    <row r="83">
      <c r="A83" s="106" t="n"/>
      <c r="B83" s="106" t="n"/>
      <c r="C83" s="106" t="n"/>
      <c r="D83" s="106" t="n"/>
      <c r="E83" s="106" t="n"/>
      <c r="F83" s="106" t="n"/>
      <c r="G83" s="106" t="n"/>
      <c r="H83" s="106" t="n"/>
      <c r="I83" s="106" t="n"/>
      <c r="J83" s="106" t="n"/>
    </row>
    <row r="84">
      <c r="A84" s="106" t="n"/>
      <c r="B84" s="106" t="n"/>
      <c r="C84" s="106" t="n"/>
      <c r="D84" s="106" t="n"/>
      <c r="E84" s="106" t="n"/>
      <c r="F84" s="106" t="n"/>
      <c r="G84" s="106" t="n"/>
      <c r="H84" s="106" t="n"/>
      <c r="I84" s="106" t="n"/>
      <c r="J84" s="106" t="n"/>
    </row>
    <row r="85">
      <c r="A85" s="106" t="n"/>
      <c r="B85" s="106" t="n"/>
      <c r="C85" s="106" t="n"/>
      <c r="D85" s="106" t="n"/>
      <c r="E85" s="106" t="n"/>
      <c r="F85" s="106" t="n"/>
      <c r="G85" s="106" t="n"/>
      <c r="H85" s="106" t="n"/>
      <c r="I85" s="106" t="n"/>
      <c r="J85" s="106" t="n"/>
    </row>
    <row r="86">
      <c r="A86" s="106" t="n"/>
      <c r="B86" s="106" t="n"/>
      <c r="C86" s="106" t="n"/>
      <c r="D86" s="106" t="n"/>
      <c r="E86" s="106" t="n"/>
      <c r="F86" s="106" t="n"/>
      <c r="G86" s="106" t="n"/>
      <c r="H86" s="106" t="n"/>
      <c r="I86" s="106" t="n"/>
      <c r="J86" s="106" t="n"/>
    </row>
    <row r="87">
      <c r="A87" s="106" t="n"/>
      <c r="B87" s="106" t="n"/>
      <c r="C87" s="106" t="n"/>
      <c r="D87" s="106" t="n"/>
      <c r="E87" s="106" t="n"/>
      <c r="F87" s="106" t="n"/>
      <c r="G87" s="106" t="n"/>
      <c r="H87" s="106" t="n"/>
      <c r="I87" s="106" t="n"/>
      <c r="J87" s="106" t="n"/>
    </row>
    <row r="88">
      <c r="A88" s="106" t="n"/>
      <c r="B88" s="106" t="n"/>
      <c r="C88" s="106" t="n"/>
      <c r="D88" s="106" t="n"/>
      <c r="E88" s="106" t="n"/>
      <c r="F88" s="106" t="n"/>
      <c r="G88" s="106" t="n"/>
      <c r="H88" s="106" t="n"/>
      <c r="I88" s="106" t="n"/>
      <c r="J88" s="106" t="n"/>
    </row>
    <row r="89">
      <c r="A89" s="106" t="n"/>
      <c r="B89" s="106" t="n"/>
      <c r="C89" s="106" t="n"/>
      <c r="D89" s="106" t="n"/>
      <c r="E89" s="106" t="n"/>
      <c r="F89" s="106" t="n"/>
      <c r="G89" s="106" t="n"/>
      <c r="H89" s="106" t="n"/>
      <c r="I89" s="106" t="n"/>
      <c r="J89" s="106" t="n"/>
    </row>
    <row r="90">
      <c r="A90" s="106" t="n"/>
      <c r="B90" s="106" t="n"/>
      <c r="C90" s="106" t="n"/>
      <c r="D90" s="106" t="n"/>
      <c r="E90" s="106" t="n"/>
      <c r="F90" s="106" t="n"/>
      <c r="G90" s="106" t="n"/>
      <c r="H90" s="106" t="n"/>
      <c r="I90" s="106" t="n"/>
      <c r="J90" s="106" t="n"/>
    </row>
    <row r="91">
      <c r="A91" s="106" t="n"/>
      <c r="B91" s="106" t="n"/>
      <c r="C91" s="106" t="n"/>
      <c r="D91" s="106" t="n"/>
      <c r="E91" s="106" t="n"/>
      <c r="F91" s="106" t="n"/>
      <c r="G91" s="106" t="n"/>
      <c r="H91" s="106" t="n"/>
      <c r="I91" s="106" t="n"/>
      <c r="J91" s="106" t="n"/>
    </row>
    <row r="92">
      <c r="A92" s="106" t="n"/>
      <c r="B92" s="106" t="n"/>
      <c r="C92" s="106" t="n"/>
      <c r="D92" s="106" t="n"/>
      <c r="E92" s="106" t="n"/>
      <c r="F92" s="106" t="n"/>
      <c r="G92" s="106" t="n"/>
      <c r="H92" s="106" t="n"/>
      <c r="I92" s="106" t="n"/>
      <c r="J92" s="106" t="n"/>
    </row>
    <row r="93">
      <c r="A93" s="106" t="n"/>
      <c r="B93" s="106" t="n"/>
      <c r="C93" s="106" t="n"/>
      <c r="D93" s="106" t="n"/>
      <c r="E93" s="106" t="n"/>
      <c r="F93" s="106" t="n"/>
      <c r="G93" s="106" t="n"/>
      <c r="H93" s="106" t="n"/>
      <c r="I93" s="106" t="n"/>
      <c r="J93" s="106" t="n"/>
    </row>
    <row r="94">
      <c r="A94" s="106" t="n"/>
      <c r="B94" s="106" t="n"/>
      <c r="C94" s="106" t="n"/>
      <c r="D94" s="106" t="n"/>
      <c r="E94" s="106" t="n"/>
      <c r="F94" s="106" t="n"/>
      <c r="G94" s="106" t="n"/>
      <c r="H94" s="106" t="n"/>
      <c r="I94" s="106" t="n"/>
      <c r="J94" s="106" t="n"/>
    </row>
    <row r="95">
      <c r="A95" s="106" t="n"/>
      <c r="B95" s="106" t="n"/>
      <c r="C95" s="106" t="n"/>
      <c r="D95" s="106" t="n"/>
      <c r="E95" s="106" t="n"/>
      <c r="F95" s="106" t="n"/>
      <c r="G95" s="106" t="n"/>
      <c r="H95" s="106" t="n"/>
      <c r="I95" s="106" t="n"/>
      <c r="J95" s="106" t="n"/>
    </row>
    <row r="96">
      <c r="A96" s="106" t="n"/>
      <c r="B96" s="106" t="n"/>
      <c r="C96" s="106" t="n"/>
      <c r="D96" s="106" t="n"/>
      <c r="E96" s="106" t="n"/>
      <c r="F96" s="106" t="n"/>
      <c r="G96" s="106" t="n"/>
      <c r="H96" s="106" t="n"/>
      <c r="I96" s="106" t="n"/>
      <c r="J96" s="106" t="n"/>
    </row>
    <row r="97">
      <c r="A97" s="106" t="n"/>
      <c r="B97" s="106" t="n"/>
      <c r="C97" s="106" t="n"/>
      <c r="D97" s="106" t="n"/>
      <c r="E97" s="106" t="n"/>
      <c r="F97" s="106" t="n"/>
      <c r="G97" s="106" t="n"/>
      <c r="H97" s="106" t="n"/>
      <c r="I97" s="106" t="n"/>
      <c r="J97" s="106" t="n"/>
    </row>
    <row r="98">
      <c r="A98" s="106" t="n"/>
      <c r="B98" s="106" t="n"/>
      <c r="C98" s="106" t="n"/>
      <c r="D98" s="106" t="n"/>
      <c r="E98" s="106" t="n"/>
      <c r="F98" s="106" t="n"/>
      <c r="G98" s="106" t="n"/>
      <c r="H98" s="106" t="n"/>
      <c r="I98" s="106" t="n"/>
      <c r="J98" s="106" t="n"/>
    </row>
    <row r="99">
      <c r="A99" s="106" t="n"/>
      <c r="B99" s="106" t="n"/>
      <c r="C99" s="106" t="n"/>
      <c r="D99" s="106" t="n"/>
      <c r="E99" s="106" t="n"/>
      <c r="F99" s="106" t="n"/>
      <c r="G99" s="106" t="n"/>
      <c r="H99" s="106" t="n"/>
      <c r="I99" s="106" t="n"/>
      <c r="J99" s="106" t="n"/>
    </row>
    <row r="100">
      <c r="A100" s="106" t="n"/>
      <c r="B100" s="106" t="n"/>
      <c r="C100" s="106" t="n"/>
      <c r="D100" s="106" t="n"/>
      <c r="E100" s="106" t="n"/>
      <c r="F100" s="106" t="n"/>
      <c r="G100" s="106" t="n"/>
      <c r="H100" s="106" t="n"/>
      <c r="I100" s="106" t="n"/>
      <c r="J100" s="106" t="n"/>
    </row>
  </sheetData>
  <mergeCells count="1">
    <mergeCell ref="A1:P1"/>
  </mergeCells>
  <conditionalFormatting sqref="B6:P6 B12:Q12">
    <cfRule type="cellIs" rank="0" priority="2" equalAverage="0" operator="equal" aboveAverage="0" dxfId="0" text="" percent="0" bottom="0">
      <formula>101</formula>
    </cfRule>
    <cfRule type="cellIs" rank="0" priority="3" equalAverage="0" operator="equal" aboveAverage="0" dxfId="1" text="" percent="0" bottom="0">
      <formula>102</formula>
    </cfRule>
    <cfRule type="cellIs" rank="0" priority="4" equalAverage="0" operator="equal" aboveAverage="0" dxfId="2" text="" percent="0" bottom="0">
      <formula>111</formula>
    </cfRule>
    <cfRule type="cellIs" rank="0" priority="5" equalAverage="0" operator="equal" aboveAverage="0" dxfId="3" text="" percent="0" bottom="0">
      <formula>112</formula>
    </cfRule>
    <cfRule type="cellIs" rank="0" priority="6" equalAverage="0" operator="equal" aboveAverage="0" dxfId="4" text="" percent="0" bottom="0">
      <formula>121</formula>
    </cfRule>
    <cfRule type="cellIs" rank="0" priority="7" equalAverage="0" operator="equal" aboveAverage="0" dxfId="0" text="" percent="0" bottom="0">
      <formula>6101</formula>
    </cfRule>
    <cfRule type="cellIs" rank="0" priority="8" equalAverage="0" operator="equal" aboveAverage="0" dxfId="1" text="" percent="0" bottom="0">
      <formula>6102</formula>
    </cfRule>
    <cfRule type="cellIs" rank="0" priority="9" equalAverage="0" operator="equal" aboveAverage="0" dxfId="2" text="" percent="0" bottom="0">
      <formula>6111</formula>
    </cfRule>
    <cfRule type="cellIs" rank="0" priority="10" equalAverage="0" operator="equal" aboveAverage="0" dxfId="3" text="" percent="0" bottom="0">
      <formula>6112</formula>
    </cfRule>
    <cfRule type="cellIs" rank="0" priority="11" equalAverage="0" operator="equal" aboveAverage="0" dxfId="4" text="" percent="0" bottom="0">
      <formula>6121</formula>
    </cfRule>
    <cfRule type="cellIs" rank="0" priority="12" equalAverage="0" operator="equal" aboveAverage="0" dxfId="0" text="" percent="0" bottom="0">
      <formula>7101</formula>
    </cfRule>
    <cfRule type="cellIs" rank="0" priority="13" equalAverage="0" operator="equal" aboveAverage="0" dxfId="1" text="" percent="0" bottom="0">
      <formula>7102</formula>
    </cfRule>
    <cfRule type="cellIs" rank="0" priority="14" equalAverage="0" operator="equal" aboveAverage="0" dxfId="2" text="" percent="0" bottom="0">
      <formula>7111</formula>
    </cfRule>
    <cfRule type="cellIs" rank="0" priority="15" equalAverage="0" operator="equal" aboveAverage="0" dxfId="3" text="" percent="0" bottom="0">
      <formula>7112</formula>
    </cfRule>
    <cfRule type="cellIs" rank="0" priority="16" equalAverage="0" operator="equal" aboveAverage="0" dxfId="4" text="" percent="0" bottom="0">
      <formula>7121</formula>
    </cfRule>
    <cfRule type="cellIs" rank="0" priority="17" equalAverage="0" operator="equal" aboveAverage="0" dxfId="5" text="" percent="0" bottom="0">
      <formula>"X_AM"</formula>
    </cfRule>
    <cfRule type="cellIs" rank="0" priority="18" equalAverage="0" operator="equal" aboveAverage="0" dxfId="5" text="" percent="0" bottom="0">
      <formula>"X_PM"</formula>
    </cfRule>
    <cfRule type="cellIs" rank="0" priority="19" equalAverage="0" operator="equal" aboveAverage="0" dxfId="6" text="" percent="0" bottom="0">
      <formula>"X_10"</formula>
    </cfRule>
    <cfRule type="cellIs" rank="0" priority="20" equalAverage="0" operator="equal" aboveAverage="0" dxfId="7" text="" percent="0" bottom="0">
      <formula>"CN"</formula>
    </cfRule>
    <cfRule type="cellIs" rank="0" priority="21" equalAverage="0" operator="equal" aboveAverage="0" dxfId="7" text="" percent="0" bottom="0">
      <formula>"JC"</formula>
    </cfRule>
    <cfRule type="cellIs" rank="0" priority="22" equalAverage="0" operator="equal" aboveAverage="0" dxfId="8" text="" percent="0" bottom="0">
      <formula>"RH"</formula>
    </cfRule>
    <cfRule type="cellIs" rank="0" priority="23" equalAverage="0" operator="equal" aboveAverage="0" dxfId="9" text="" percent="0" bottom="0">
      <formula>"CH"</formula>
    </cfRule>
    <cfRule type="cellIs" rank="0" priority="24" equalAverage="0" operator="equal" aboveAverage="0" dxfId="10" text="" percent="0" bottom="0">
      <formula>"RR"</formula>
    </cfRule>
    <cfRule type="cellIs" rank="0" priority="25" equalAverage="0" operator="equal" aboveAverage="0" dxfId="11" text="" percent="0" bottom="0">
      <formula>"ZM"</formula>
    </cfRule>
  </conditionalFormatting>
  <conditionalFormatting sqref="B56 B57">
    <cfRule type="cellIs" rank="0" priority="26" equalAverage="0" operator="greaterThan" aboveAverage="0" dxfId="12" text="" percent="0" bottom="0">
      <formula>160</formula>
    </cfRule>
  </conditionalFormatting>
  <conditionalFormatting sqref="B6:Q6">
    <cfRule type="cellIs" priority="26" operator="equal" dxfId="13">
      <formula>"CV"</formula>
    </cfRule>
    <cfRule type="cellIs" priority="27" operator="equal" dxfId="14">
      <formula>"AG"</formula>
    </cfRule>
  </conditionalFormatting>
  <conditionalFormatting sqref="B12:R12">
    <cfRule type="cellIs" priority="28" operator="equal" dxfId="13">
      <formula>"CV"</formula>
    </cfRule>
    <cfRule type="cellIs" priority="29" operator="equal" dxfId="14">
      <formula>"AG"</formula>
    </cfRule>
  </conditionalFormatting>
  <conditionalFormatting sqref="B55">
    <cfRule type="cellIs" priority="30" operator="greaterThan" dxfId="15">
      <formula>160</formula>
    </cfRule>
  </conditionalFormatting>
  <conditionalFormatting sqref="C55">
    <cfRule type="cellIs" priority="31" operator="notEqual" dxfId="16">
      <formula>4</formula>
    </cfRule>
  </conditionalFormatting>
  <conditionalFormatting sqref="D55">
    <cfRule type="cellIs" priority="32" operator="notEqual" dxfId="16">
      <formula>4</formula>
    </cfRule>
  </conditionalFormatting>
  <conditionalFormatting sqref="E55">
    <cfRule type="cellIs" priority="33" operator="notEqual" dxfId="16">
      <formula>1</formula>
    </cfRule>
  </conditionalFormatting>
  <conditionalFormatting sqref="H55">
    <cfRule type="cellIs" priority="34" operator="equal" dxfId="17">
      <formula>"✓ OK"</formula>
    </cfRule>
    <cfRule type="cellIs" priority="35" operator="notEqual" dxfId="15">
      <formula>"✓ OK"</formula>
    </cfRule>
  </conditionalFormatting>
  <conditionalFormatting sqref="B56">
    <cfRule type="cellIs" priority="36" operator="greaterThan" dxfId="15">
      <formula>160</formula>
    </cfRule>
  </conditionalFormatting>
  <conditionalFormatting sqref="C56">
    <cfRule type="cellIs" priority="37" operator="notEqual" dxfId="16">
      <formula>4</formula>
    </cfRule>
  </conditionalFormatting>
  <conditionalFormatting sqref="D56">
    <cfRule type="cellIs" priority="38" operator="notEqual" dxfId="16">
      <formula>4</formula>
    </cfRule>
  </conditionalFormatting>
  <conditionalFormatting sqref="E56">
    <cfRule type="cellIs" priority="39" operator="notEqual" dxfId="16">
      <formula>1</formula>
    </cfRule>
  </conditionalFormatting>
  <conditionalFormatting sqref="H56">
    <cfRule type="cellIs" priority="40" operator="equal" dxfId="17">
      <formula>"✓ OK"</formula>
    </cfRule>
    <cfRule type="cellIs" priority="41" operator="notEqual" dxfId="15">
      <formula>"✓ OK"</formula>
    </cfRule>
  </conditionalFormatting>
  <dataValidations count="1">
    <dataValidation sqref="B6:Q6 B12:R12" showDropDown="0" showInputMessage="0" showErrorMessage="0" allowBlank="1" type="list">
      <formula1>"101,102,111,112,121,6101,6102,6111,6112,6121,7101,7102,7111,7112,7121,X_AM,X_PM,X_10,AG,CN,JC,RH,CH,RR,CV,ZM"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Q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L48:L49 A1"/>
    </sheetView>
  </sheetViews>
  <sheetFormatPr baseColWidth="8" defaultColWidth="8.6796875" defaultRowHeight="15" customHeight="0" zeroHeight="0" outlineLevelRow="0"/>
  <cols>
    <col width="45" customWidth="1" style="66" min="1" max="1"/>
    <col width="10" customWidth="1" style="66" min="2" max="17"/>
  </cols>
  <sheetData>
    <row r="1" ht="24.75" customHeight="1" s="67">
      <c r="A1" s="107" t="inlineStr">
        <is>
          <t>SEPTEMBRE 2026</t>
        </is>
      </c>
    </row>
    <row r="2" ht="15" customHeight="1" s="67">
      <c r="A2" s="69" t="n"/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</row>
    <row r="3" ht="15" customHeight="1" s="67">
      <c r="A3" s="108" t="inlineStr">
        <is>
          <t>Jours 1-15</t>
        </is>
      </c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</row>
    <row r="4" ht="18" customHeight="1" s="67">
      <c r="A4" s="76" t="inlineStr">
        <is>
          <t>Jour</t>
        </is>
      </c>
      <c r="B4" s="110" t="n">
        <v>1</v>
      </c>
      <c r="C4" s="110" t="n">
        <v>2</v>
      </c>
      <c r="D4" s="110" t="n">
        <v>3</v>
      </c>
      <c r="E4" s="110" t="n">
        <v>4</v>
      </c>
      <c r="F4" s="111" t="n">
        <v>5</v>
      </c>
      <c r="G4" s="111" t="n">
        <v>6</v>
      </c>
      <c r="H4" s="110" t="n">
        <v>7</v>
      </c>
      <c r="I4" s="110" t="n">
        <v>8</v>
      </c>
      <c r="J4" s="110" t="n">
        <v>9</v>
      </c>
      <c r="K4" s="110" t="n">
        <v>10</v>
      </c>
      <c r="L4" s="110" t="n">
        <v>11</v>
      </c>
      <c r="M4" s="111" t="n">
        <v>12</v>
      </c>
      <c r="N4" s="111" t="n">
        <v>13</v>
      </c>
      <c r="O4" s="110" t="n">
        <v>14</v>
      </c>
      <c r="P4" s="110" t="n">
        <v>15</v>
      </c>
    </row>
    <row r="5" ht="18" customHeight="1" s="67">
      <c r="A5" s="76" t="inlineStr">
        <is>
          <t>J.sem</t>
        </is>
      </c>
      <c r="B5" s="110" t="inlineStr">
        <is>
          <t>M</t>
        </is>
      </c>
      <c r="C5" s="110" t="inlineStr">
        <is>
          <t>M</t>
        </is>
      </c>
      <c r="D5" s="110" t="inlineStr">
        <is>
          <t>J</t>
        </is>
      </c>
      <c r="E5" s="110" t="inlineStr">
        <is>
          <t>V</t>
        </is>
      </c>
      <c r="F5" s="111" t="inlineStr">
        <is>
          <t>S</t>
        </is>
      </c>
      <c r="G5" s="111" t="inlineStr">
        <is>
          <t>D</t>
        </is>
      </c>
      <c r="H5" s="110" t="inlineStr">
        <is>
          <t>L</t>
        </is>
      </c>
      <c r="I5" s="110" t="inlineStr">
        <is>
          <t>M</t>
        </is>
      </c>
      <c r="J5" s="110" t="inlineStr">
        <is>
          <t>M</t>
        </is>
      </c>
      <c r="K5" s="110" t="inlineStr">
        <is>
          <t>J</t>
        </is>
      </c>
      <c r="L5" s="110" t="inlineStr">
        <is>
          <t>V</t>
        </is>
      </c>
      <c r="M5" s="111" t="inlineStr">
        <is>
          <t>S</t>
        </is>
      </c>
      <c r="N5" s="111" t="inlineStr">
        <is>
          <t>D</t>
        </is>
      </c>
      <c r="O5" s="110" t="inlineStr">
        <is>
          <t>L</t>
        </is>
      </c>
      <c r="P5" s="110" t="inlineStr">
        <is>
          <t>M</t>
        </is>
      </c>
    </row>
    <row r="6" ht="24.75" customHeight="1" s="67">
      <c r="A6" s="76" t="inlineStr">
        <is>
          <t>Code</t>
        </is>
      </c>
      <c r="B6" s="114" t="n"/>
      <c r="C6" s="114" t="n"/>
      <c r="D6" s="114" t="n"/>
      <c r="E6" s="114" t="n"/>
      <c r="F6" s="114" t="n"/>
      <c r="G6" s="114" t="n"/>
      <c r="H6" s="114" t="n"/>
      <c r="I6" s="114" t="n"/>
      <c r="J6" s="114" t="n"/>
      <c r="K6" s="114" t="n"/>
      <c r="L6" s="114" t="n"/>
      <c r="M6" s="114" t="n"/>
      <c r="N6" s="114" t="n"/>
      <c r="O6" s="114" t="n"/>
      <c r="P6" s="114" t="n"/>
    </row>
    <row r="7" ht="15" customHeight="1" s="67">
      <c r="A7" s="76" t="inlineStr">
        <is>
          <t>Période</t>
        </is>
      </c>
      <c r="B7" s="118" t="inlineStr">
        <is>
          <t>P9</t>
        </is>
      </c>
      <c r="C7" s="118" t="inlineStr">
        <is>
          <t>P9</t>
        </is>
      </c>
      <c r="D7" s="118" t="inlineStr">
        <is>
          <t>P9</t>
        </is>
      </c>
      <c r="E7" s="118" t="inlineStr">
        <is>
          <t>P9</t>
        </is>
      </c>
      <c r="F7" s="118" t="inlineStr">
        <is>
          <t>P9</t>
        </is>
      </c>
      <c r="G7" s="118" t="inlineStr">
        <is>
          <t>P9</t>
        </is>
      </c>
      <c r="H7" s="118" t="inlineStr">
        <is>
          <t>P9</t>
        </is>
      </c>
      <c r="I7" s="118" t="inlineStr">
        <is>
          <t>P9</t>
        </is>
      </c>
      <c r="J7" s="118" t="inlineStr">
        <is>
          <t>P9</t>
        </is>
      </c>
      <c r="K7" s="118" t="inlineStr">
        <is>
          <t>P9</t>
        </is>
      </c>
      <c r="L7" s="118" t="inlineStr">
        <is>
          <t>P9</t>
        </is>
      </c>
      <c r="M7" s="118" t="inlineStr">
        <is>
          <t>P9</t>
        </is>
      </c>
      <c r="N7" s="118" t="inlineStr">
        <is>
          <t>P9</t>
        </is>
      </c>
      <c r="O7" s="118" t="inlineStr">
        <is>
          <t>P9</t>
        </is>
      </c>
      <c r="P7" s="118" t="inlineStr">
        <is>
          <t>P9</t>
        </is>
      </c>
    </row>
    <row r="8" ht="15" customHeight="1" s="67">
      <c r="A8" s="69" t="n"/>
      <c r="B8" s="69" t="n"/>
      <c r="C8" s="69" t="n"/>
      <c r="D8" s="69" t="n"/>
      <c r="E8" s="69" t="n"/>
      <c r="F8" s="69" t="n"/>
      <c r="G8" s="69" t="n"/>
      <c r="H8" s="69" t="n"/>
      <c r="I8" s="69" t="n"/>
      <c r="J8" s="69" t="n"/>
      <c r="K8" s="69" t="n"/>
      <c r="L8" s="69" t="n"/>
      <c r="M8" s="69" t="n"/>
      <c r="N8" s="69" t="n"/>
      <c r="O8" s="69" t="n"/>
      <c r="P8" s="69" t="n"/>
    </row>
    <row r="9" ht="15" customHeight="1" s="67">
      <c r="A9" s="108" t="inlineStr">
        <is>
          <t>Jours 16-30</t>
        </is>
      </c>
      <c r="B9" s="69" t="n"/>
      <c r="C9" s="69" t="n"/>
      <c r="D9" s="69" t="n"/>
      <c r="E9" s="69" t="n"/>
      <c r="F9" s="69" t="n"/>
      <c r="G9" s="69" t="n"/>
      <c r="H9" s="69" t="n"/>
      <c r="I9" s="69" t="n"/>
      <c r="J9" s="69" t="n"/>
      <c r="K9" s="69" t="n"/>
      <c r="L9" s="69" t="n"/>
      <c r="M9" s="69" t="n"/>
      <c r="N9" s="69" t="n"/>
      <c r="O9" s="69" t="n"/>
      <c r="P9" s="69" t="n"/>
    </row>
    <row r="10" ht="18" customHeight="1" s="67">
      <c r="A10" s="76" t="inlineStr">
        <is>
          <t>Jour</t>
        </is>
      </c>
      <c r="B10" s="110" t="n">
        <v>16</v>
      </c>
      <c r="C10" s="110" t="n">
        <v>17</v>
      </c>
      <c r="D10" s="110" t="n">
        <v>18</v>
      </c>
      <c r="E10" s="111" t="n">
        <v>19</v>
      </c>
      <c r="F10" s="112" t="n">
        <v>20</v>
      </c>
      <c r="G10" s="112" t="n">
        <v>21</v>
      </c>
      <c r="H10" s="110" t="n">
        <v>22</v>
      </c>
      <c r="I10" s="110" t="n">
        <v>23</v>
      </c>
      <c r="J10" s="110" t="n">
        <v>24</v>
      </c>
      <c r="K10" s="110" t="n">
        <v>25</v>
      </c>
      <c r="L10" s="111" t="n">
        <v>26</v>
      </c>
      <c r="M10" s="111" t="n">
        <v>27</v>
      </c>
      <c r="N10" s="110" t="n">
        <v>28</v>
      </c>
      <c r="O10" s="119" t="n">
        <v>29</v>
      </c>
      <c r="P10" s="119" t="n">
        <v>30</v>
      </c>
      <c r="Q10" s="141" t="n"/>
    </row>
    <row r="11" ht="18" customHeight="1" s="67">
      <c r="A11" s="76" t="inlineStr">
        <is>
          <t>J.sem</t>
        </is>
      </c>
      <c r="B11" s="110" t="inlineStr">
        <is>
          <t>M</t>
        </is>
      </c>
      <c r="C11" s="110" t="inlineStr">
        <is>
          <t>J</t>
        </is>
      </c>
      <c r="D11" s="110" t="inlineStr">
        <is>
          <t>V</t>
        </is>
      </c>
      <c r="E11" s="111" t="inlineStr">
        <is>
          <t>S</t>
        </is>
      </c>
      <c r="F11" s="112" t="inlineStr">
        <is>
          <t>D</t>
        </is>
      </c>
      <c r="G11" s="112" t="inlineStr">
        <is>
          <t>L</t>
        </is>
      </c>
      <c r="H11" s="110" t="inlineStr">
        <is>
          <t>M</t>
        </is>
      </c>
      <c r="I11" s="110" t="inlineStr">
        <is>
          <t>M</t>
        </is>
      </c>
      <c r="J11" s="110" t="inlineStr">
        <is>
          <t>J</t>
        </is>
      </c>
      <c r="K11" s="110" t="inlineStr">
        <is>
          <t>V</t>
        </is>
      </c>
      <c r="L11" s="111" t="inlineStr">
        <is>
          <t>S</t>
        </is>
      </c>
      <c r="M11" s="111" t="inlineStr">
        <is>
          <t>D</t>
        </is>
      </c>
      <c r="N11" s="110" t="inlineStr">
        <is>
          <t>L</t>
        </is>
      </c>
      <c r="O11" s="119" t="inlineStr">
        <is>
          <t>M</t>
        </is>
      </c>
      <c r="P11" s="119" t="inlineStr">
        <is>
          <t>M</t>
        </is>
      </c>
      <c r="Q11" s="141" t="n"/>
    </row>
    <row r="12" ht="24.75" customHeight="1" s="67">
      <c r="A12" s="76" t="inlineStr">
        <is>
          <t>Code</t>
        </is>
      </c>
      <c r="B12" s="114" t="n"/>
      <c r="C12" s="114" t="n"/>
      <c r="D12" s="114" t="n"/>
      <c r="E12" s="114" t="n"/>
      <c r="F12" s="139" t="n"/>
      <c r="G12" s="115" t="n"/>
      <c r="H12" s="114" t="n"/>
      <c r="I12" s="114" t="n"/>
      <c r="J12" s="114" t="n"/>
      <c r="K12" s="114" t="n"/>
      <c r="L12" s="114" t="n"/>
      <c r="M12" s="114" t="n"/>
      <c r="N12" s="114" t="n"/>
      <c r="O12" s="114" t="n"/>
      <c r="P12" s="114" t="n"/>
      <c r="Q12" s="141" t="n"/>
    </row>
    <row r="13" ht="15" customHeight="1" s="67">
      <c r="A13" s="76" t="inlineStr">
        <is>
          <t>Période</t>
        </is>
      </c>
      <c r="B13" s="118" t="inlineStr">
        <is>
          <t>P9</t>
        </is>
      </c>
      <c r="C13" s="118" t="inlineStr">
        <is>
          <t>P9</t>
        </is>
      </c>
      <c r="D13" s="118" t="inlineStr">
        <is>
          <t>P9</t>
        </is>
      </c>
      <c r="E13" s="118" t="inlineStr">
        <is>
          <t>P9</t>
        </is>
      </c>
      <c r="F13" s="117" t="inlineStr">
        <is>
          <t>P9</t>
        </is>
      </c>
      <c r="G13" s="117" t="inlineStr">
        <is>
          <t>P10</t>
        </is>
      </c>
      <c r="H13" s="118" t="inlineStr">
        <is>
          <t>P10</t>
        </is>
      </c>
      <c r="I13" s="118" t="inlineStr">
        <is>
          <t>P10</t>
        </is>
      </c>
      <c r="J13" s="118" t="inlineStr">
        <is>
          <t>P10</t>
        </is>
      </c>
      <c r="K13" s="118" t="inlineStr">
        <is>
          <t>P10</t>
        </is>
      </c>
      <c r="L13" s="118" t="inlineStr">
        <is>
          <t>P10</t>
        </is>
      </c>
      <c r="M13" s="118" t="inlineStr">
        <is>
          <t>P10</t>
        </is>
      </c>
      <c r="N13" s="118" t="inlineStr">
        <is>
          <t>P10</t>
        </is>
      </c>
      <c r="O13" s="118" t="inlineStr">
        <is>
          <t>P10</t>
        </is>
      </c>
      <c r="P13" s="118" t="inlineStr">
        <is>
          <t>P10</t>
        </is>
      </c>
      <c r="Q13" s="141" t="n"/>
    </row>
    <row r="16" ht="15" customHeight="1" s="67">
      <c r="A16" s="104" t="inlineStr">
        <is>
          <t>Prestations</t>
        </is>
      </c>
      <c r="B16" s="104" t="inlineStr">
        <is>
          <t>Jours</t>
        </is>
      </c>
      <c r="C16" s="104" t="inlineStr">
        <is>
          <t>H. Totales</t>
        </is>
      </c>
      <c r="D16" s="104" t="inlineStr">
        <is>
          <t>H. Nuit</t>
        </is>
      </c>
      <c r="E16" s="104" t="inlineStr">
        <is>
          <t>Couleur</t>
        </is>
      </c>
      <c r="F16" s="106" t="n"/>
      <c r="G16" s="106" t="n"/>
      <c r="H16" s="106" t="n"/>
      <c r="I16" s="106" t="n"/>
      <c r="J16" s="106" t="n"/>
    </row>
    <row r="17">
      <c r="A17" s="105" t="inlineStr">
        <is>
          <t>101</t>
        </is>
      </c>
      <c r="B17" s="105">
        <f>COUNTIF(B6:P6,"101")+COUNTIF(B12:R12,"101")</f>
        <v/>
      </c>
      <c r="C17" s="105">
        <f>B17*8</f>
        <v/>
      </c>
      <c r="D17" s="105">
        <f>B17*2</f>
        <v/>
      </c>
      <c r="E17" s="121" t="n"/>
      <c r="F17" s="106" t="n"/>
      <c r="G17" s="106" t="n"/>
      <c r="H17" s="106" t="n"/>
      <c r="I17" s="106" t="n"/>
      <c r="J17" s="106" t="n"/>
    </row>
    <row r="18" ht="15" customHeight="1" s="67">
      <c r="A18" s="105" t="inlineStr">
        <is>
          <t>102</t>
        </is>
      </c>
      <c r="B18" s="105">
        <f>COUNTIF(B6:P6,"102")+COUNTIF(B12:R12,"102")</f>
        <v/>
      </c>
      <c r="C18" s="105">
        <f>B18*8</f>
        <v/>
      </c>
      <c r="D18" s="105">
        <f>B18*2</f>
        <v/>
      </c>
      <c r="E18" s="122" t="n"/>
      <c r="F18" s="106" t="n"/>
      <c r="G18" s="106" t="n"/>
      <c r="H18" s="106" t="n"/>
      <c r="I18" s="106" t="n"/>
      <c r="J18" s="106" t="n"/>
    </row>
    <row r="19" ht="15" customHeight="1" s="67">
      <c r="A19" s="105" t="inlineStr">
        <is>
          <t>111</t>
        </is>
      </c>
      <c r="B19" s="105">
        <f>COUNTIF(B6:P6,"111")+COUNTIF(B12:R12,"111")</f>
        <v/>
      </c>
      <c r="C19" s="105">
        <f>B19*8</f>
        <v/>
      </c>
      <c r="D19" s="105">
        <f>B19*2</f>
        <v/>
      </c>
      <c r="E19" s="123" t="n"/>
      <c r="F19" s="106" t="n"/>
      <c r="G19" s="106" t="n"/>
      <c r="H19" s="106" t="n"/>
      <c r="I19" s="106" t="n"/>
      <c r="J19" s="106" t="n"/>
    </row>
    <row r="20" ht="15" customHeight="1" s="67">
      <c r="A20" s="105" t="inlineStr">
        <is>
          <t>112</t>
        </is>
      </c>
      <c r="B20" s="105">
        <f>COUNTIF(B6:P6,"112")+COUNTIF(B12:R12,"112")</f>
        <v/>
      </c>
      <c r="C20" s="105">
        <f>B20*8</f>
        <v/>
      </c>
      <c r="D20" s="105">
        <f>B20*2</f>
        <v/>
      </c>
      <c r="E20" s="124" t="n"/>
      <c r="F20" s="106" t="n"/>
      <c r="G20" s="106" t="n"/>
      <c r="H20" s="106" t="n"/>
      <c r="I20" s="106" t="n"/>
      <c r="J20" s="106" t="n"/>
    </row>
    <row r="21" ht="15" customHeight="1" s="67">
      <c r="A21" s="105" t="inlineStr">
        <is>
          <t>121</t>
        </is>
      </c>
      <c r="B21" s="105">
        <f>COUNTIF(B6:P6,"121")+COUNTIF(B12:R12,"121")</f>
        <v/>
      </c>
      <c r="C21" s="105">
        <f>B21*8</f>
        <v/>
      </c>
      <c r="D21" s="105">
        <f>B21*8</f>
        <v/>
      </c>
      <c r="E21" s="125" t="n"/>
      <c r="F21" s="106" t="n"/>
      <c r="G21" s="106" t="n"/>
      <c r="H21" s="106" t="n"/>
      <c r="I21" s="106" t="n"/>
      <c r="J21" s="106" t="n"/>
    </row>
    <row r="22" ht="15" customHeight="1" s="67">
      <c r="A22" s="105" t="inlineStr">
        <is>
          <t>6101</t>
        </is>
      </c>
      <c r="B22" s="105">
        <f>COUNTIF(B6:P6,"6101")+COUNTIF(B12:R12,"6101")</f>
        <v/>
      </c>
      <c r="C22" s="105">
        <f>B22*8</f>
        <v/>
      </c>
      <c r="D22" s="105">
        <f>B22*2</f>
        <v/>
      </c>
      <c r="E22" s="121" t="n"/>
      <c r="F22" s="106" t="n"/>
      <c r="G22" s="106" t="n"/>
      <c r="H22" s="106" t="n"/>
      <c r="I22" s="106" t="n"/>
      <c r="J22" s="106" t="n"/>
    </row>
    <row r="23" ht="15" customHeight="1" s="67">
      <c r="A23" s="105" t="inlineStr">
        <is>
          <t>6102</t>
        </is>
      </c>
      <c r="B23" s="105">
        <f>COUNTIF(B6:P6,"6102")+COUNTIF(B12:R12,"6102")</f>
        <v/>
      </c>
      <c r="C23" s="105">
        <f>B23*8</f>
        <v/>
      </c>
      <c r="D23" s="105">
        <f>B23*2</f>
        <v/>
      </c>
      <c r="E23" s="122" t="n"/>
      <c r="F23" s="106" t="n"/>
      <c r="G23" s="106" t="n"/>
      <c r="H23" s="106" t="n"/>
      <c r="I23" s="106" t="n"/>
      <c r="J23" s="106" t="n"/>
    </row>
    <row r="24" ht="15" customHeight="1" s="67">
      <c r="A24" s="105" t="inlineStr">
        <is>
          <t>6111</t>
        </is>
      </c>
      <c r="B24" s="105">
        <f>COUNTIF(B6:P6,"6111")+COUNTIF(B12:R12,"6111")</f>
        <v/>
      </c>
      <c r="C24" s="105">
        <f>B24*8</f>
        <v/>
      </c>
      <c r="D24" s="105">
        <f>B24*2</f>
        <v/>
      </c>
      <c r="E24" s="123" t="n"/>
      <c r="F24" s="106" t="n"/>
      <c r="G24" s="106" t="n"/>
      <c r="H24" s="106" t="n"/>
      <c r="I24" s="106" t="n"/>
      <c r="J24" s="106" t="n"/>
    </row>
    <row r="25" ht="15" customHeight="1" s="67">
      <c r="A25" s="105" t="inlineStr">
        <is>
          <t>6112</t>
        </is>
      </c>
      <c r="B25" s="105">
        <f>COUNTIF(B6:P6,"6112")+COUNTIF(B12:R12,"6112")</f>
        <v/>
      </c>
      <c r="C25" s="105">
        <f>B25*8</f>
        <v/>
      </c>
      <c r="D25" s="105">
        <f>B25*2</f>
        <v/>
      </c>
      <c r="E25" s="124" t="n"/>
      <c r="F25" s="106" t="n"/>
      <c r="G25" s="106" t="n"/>
      <c r="H25" s="106" t="n"/>
      <c r="I25" s="106" t="n"/>
      <c r="J25" s="106" t="n"/>
    </row>
    <row r="26" ht="15" customHeight="1" s="67">
      <c r="A26" s="105" t="inlineStr">
        <is>
          <t>6121</t>
        </is>
      </c>
      <c r="B26" s="105">
        <f>COUNTIF(B6:P6,"6121")+COUNTIF(B12:R12,"6121")</f>
        <v/>
      </c>
      <c r="C26" s="105">
        <f>B26*8</f>
        <v/>
      </c>
      <c r="D26" s="105">
        <f>B26*8</f>
        <v/>
      </c>
      <c r="E26" s="125" t="n"/>
      <c r="F26" s="106" t="n"/>
      <c r="G26" s="106" t="n"/>
      <c r="H26" s="106" t="n"/>
      <c r="I26" s="106" t="n"/>
      <c r="J26" s="106" t="n"/>
    </row>
    <row r="27" ht="15" customHeight="1" s="67">
      <c r="A27" s="105" t="inlineStr">
        <is>
          <t>7101</t>
        </is>
      </c>
      <c r="B27" s="105">
        <f>COUNTIF(B6:P6,"7101")+COUNTIF(B12:R12,"7101")</f>
        <v/>
      </c>
      <c r="C27" s="105">
        <f>B27*8</f>
        <v/>
      </c>
      <c r="D27" s="105">
        <f>B27*2</f>
        <v/>
      </c>
      <c r="E27" s="121" t="n"/>
      <c r="F27" s="106" t="n"/>
      <c r="G27" s="106" t="n"/>
      <c r="H27" s="106" t="n"/>
      <c r="I27" s="106" t="n"/>
      <c r="J27" s="106" t="n"/>
    </row>
    <row r="28" ht="15" customHeight="1" s="67">
      <c r="A28" s="105" t="inlineStr">
        <is>
          <t>7102</t>
        </is>
      </c>
      <c r="B28" s="105">
        <f>COUNTIF(B6:P6,"7102")+COUNTIF(B12:R12,"7102")</f>
        <v/>
      </c>
      <c r="C28" s="105">
        <f>B28*8</f>
        <v/>
      </c>
      <c r="D28" s="105">
        <f>B28*2</f>
        <v/>
      </c>
      <c r="E28" s="122" t="n"/>
      <c r="F28" s="106" t="n"/>
      <c r="G28" s="106" t="n"/>
      <c r="H28" s="106" t="n"/>
      <c r="I28" s="106" t="n"/>
      <c r="J28" s="106" t="n"/>
    </row>
    <row r="29" ht="15" customHeight="1" s="67">
      <c r="A29" s="105" t="inlineStr">
        <is>
          <t>7111</t>
        </is>
      </c>
      <c r="B29" s="105">
        <f>COUNTIF(B6:P6,"7111")+COUNTIF(B12:R12,"7111")</f>
        <v/>
      </c>
      <c r="C29" s="105">
        <f>B29*8</f>
        <v/>
      </c>
      <c r="D29" s="105">
        <f>B29*2</f>
        <v/>
      </c>
      <c r="E29" s="123" t="n"/>
      <c r="F29" s="106" t="n"/>
      <c r="G29" s="106" t="n"/>
      <c r="H29" s="106" t="n"/>
      <c r="I29" s="106" t="n"/>
      <c r="J29" s="106" t="n"/>
    </row>
    <row r="30" ht="15" customHeight="1" s="67">
      <c r="A30" s="105" t="inlineStr">
        <is>
          <t>7112</t>
        </is>
      </c>
      <c r="B30" s="105">
        <f>COUNTIF(B6:P6,"7112")+COUNTIF(B12:R12,"7112")</f>
        <v/>
      </c>
      <c r="C30" s="105">
        <f>B30*8</f>
        <v/>
      </c>
      <c r="D30" s="105">
        <f>B30*2</f>
        <v/>
      </c>
      <c r="E30" s="124" t="n"/>
      <c r="F30" s="106" t="n"/>
      <c r="G30" s="106" t="n"/>
      <c r="H30" s="106" t="n"/>
      <c r="I30" s="106" t="n"/>
      <c r="J30" s="106" t="n"/>
    </row>
    <row r="31" ht="15" customHeight="1" s="67">
      <c r="A31" s="105" t="inlineStr">
        <is>
          <t>7121</t>
        </is>
      </c>
      <c r="B31" s="105">
        <f>COUNTIF(B6:P6,"7121")+COUNTIF(B12:R12,"7121")</f>
        <v/>
      </c>
      <c r="C31" s="105">
        <f>B31*8</f>
        <v/>
      </c>
      <c r="D31" s="105">
        <f>B31*8</f>
        <v/>
      </c>
      <c r="E31" s="125" t="n"/>
      <c r="F31" s="106" t="n"/>
      <c r="G31" s="106" t="n"/>
      <c r="H31" s="106" t="n"/>
      <c r="I31" s="106" t="n"/>
      <c r="J31" s="106" t="n"/>
    </row>
    <row r="32" ht="15" customHeight="1" s="67">
      <c r="A32" s="105" t="inlineStr">
        <is>
          <t>X_AM</t>
        </is>
      </c>
      <c r="B32" s="105">
        <f>COUNTIF(B6:P6,"X_AM")+COUNTIF(B12:R12,"X_AM")</f>
        <v/>
      </c>
      <c r="C32" s="105">
        <f>B32*8</f>
        <v/>
      </c>
      <c r="D32" s="105">
        <f>B32*2</f>
        <v/>
      </c>
      <c r="E32" s="126" t="n"/>
      <c r="F32" s="106" t="n"/>
      <c r="G32" s="106" t="n"/>
      <c r="H32" s="106" t="n"/>
      <c r="I32" s="106" t="n"/>
      <c r="J32" s="106" t="n"/>
    </row>
    <row r="33" ht="15" customHeight="1" s="67">
      <c r="A33" s="105" t="inlineStr">
        <is>
          <t>X_PM</t>
        </is>
      </c>
      <c r="B33" s="105">
        <f>COUNTIF(B6:P6,"X_PM")+COUNTIF(B12:R12,"X_PM")</f>
        <v/>
      </c>
      <c r="C33" s="105">
        <f>B33*8</f>
        <v/>
      </c>
      <c r="D33" s="105">
        <f>B33*2</f>
        <v/>
      </c>
      <c r="E33" s="126" t="n"/>
      <c r="F33" s="106" t="n"/>
      <c r="G33" s="106" t="n"/>
      <c r="H33" s="106" t="n"/>
      <c r="I33" s="106" t="n"/>
      <c r="J33" s="106" t="n"/>
    </row>
    <row r="34" ht="15" customHeight="1" s="67">
      <c r="A34" s="105" t="inlineStr">
        <is>
          <t>X_10</t>
        </is>
      </c>
      <c r="B34" s="105">
        <f>COUNTIF(B6:P6,"X_10")+COUNTIF(B12:R12,"X_10")</f>
        <v/>
      </c>
      <c r="C34" s="105">
        <f>B34*8</f>
        <v/>
      </c>
      <c r="D34" s="105" t="n">
        <v>0</v>
      </c>
      <c r="E34" s="127" t="n"/>
      <c r="F34" s="106" t="n"/>
      <c r="G34" s="106" t="n"/>
      <c r="H34" s="106" t="n"/>
      <c r="I34" s="106" t="n"/>
      <c r="J34" s="106" t="n"/>
    </row>
    <row r="35" ht="15" customHeight="1" s="67">
      <c r="A35" s="105" t="inlineStr">
        <is>
          <t>AG</t>
        </is>
      </c>
      <c r="B35" s="105">
        <f>COUNTIF(B6:P6,"AG")+COUNTIF(B12:R12,"AG")</f>
        <v/>
      </c>
      <c r="C35" s="105">
        <f>B35*8</f>
        <v/>
      </c>
      <c r="D35" s="105" t="n">
        <v>0</v>
      </c>
      <c r="E35" s="128" t="n"/>
      <c r="F35" s="106" t="n"/>
      <c r="G35" s="106" t="n"/>
      <c r="H35" s="106" t="n"/>
      <c r="I35" s="106" t="n"/>
      <c r="J35" s="106" t="n"/>
    </row>
    <row r="36" ht="15" customHeight="1" s="67">
      <c r="A36" s="129" t="inlineStr">
        <is>
          <t>TOTAL</t>
        </is>
      </c>
      <c r="B36" s="129">
        <f>SUM(B17:B35)</f>
        <v/>
      </c>
      <c r="C36" s="129">
        <f>SUM(C17:C35)</f>
        <v/>
      </c>
      <c r="D36" s="129">
        <f>SUM(D17:D35)</f>
        <v/>
      </c>
      <c r="E36" s="129" t="n"/>
      <c r="F36" s="106" t="n"/>
      <c r="G36" s="106" t="n"/>
      <c r="H36" s="106" t="n"/>
      <c r="I36" s="106" t="n"/>
      <c r="J36" s="106" t="n"/>
    </row>
    <row r="37" ht="15" customHeight="1" s="67">
      <c r="A37" s="130" t="n"/>
      <c r="B37" s="130" t="n"/>
      <c r="C37" s="130" t="n"/>
      <c r="D37" s="130" t="n"/>
      <c r="E37" s="130" t="n"/>
      <c r="F37" s="106" t="n"/>
      <c r="G37" s="106" t="n"/>
      <c r="H37" s="106" t="n"/>
      <c r="I37" s="106" t="n"/>
      <c r="J37" s="106" t="n"/>
    </row>
    <row r="38" ht="15" customHeight="1" s="67">
      <c r="A38" s="104" t="inlineStr">
        <is>
          <t>REPOS</t>
        </is>
      </c>
      <c r="B38" s="104" t="inlineStr">
        <is>
          <t>Jours</t>
        </is>
      </c>
      <c r="C38" s="104" t="inlineStr">
        <is>
          <t>H. Totales</t>
        </is>
      </c>
      <c r="D38" s="104" t="inlineStr">
        <is>
          <t>H. Nuit</t>
        </is>
      </c>
      <c r="E38" s="104" t="inlineStr">
        <is>
          <t>Couleur</t>
        </is>
      </c>
      <c r="F38" s="106" t="n"/>
      <c r="G38" s="106" t="n"/>
      <c r="H38" s="106" t="n"/>
      <c r="I38" s="106" t="n"/>
      <c r="J38" s="106" t="n"/>
    </row>
    <row r="39" ht="15" customHeight="1" s="67">
      <c r="A39" s="105" t="inlineStr">
        <is>
          <t>CN</t>
        </is>
      </c>
      <c r="B39" s="105">
        <f>COUNTIF(B6:P6,"CN")+COUNTIF(B12:R12,"CN")</f>
        <v/>
      </c>
      <c r="C39" s="105">
        <f>B39*8</f>
        <v/>
      </c>
      <c r="D39" s="105" t="n">
        <v>0</v>
      </c>
      <c r="E39" s="131" t="n"/>
      <c r="F39" s="106" t="n"/>
      <c r="G39" s="106" t="n"/>
      <c r="H39" s="106" t="n"/>
      <c r="I39" s="106" t="n"/>
      <c r="J39" s="106" t="n"/>
    </row>
    <row r="40" ht="15" customHeight="1" s="67">
      <c r="A40" s="105" t="inlineStr">
        <is>
          <t>JC</t>
        </is>
      </c>
      <c r="B40" s="105">
        <f>COUNTIF(B6:P6,"JC")+COUNTIF(B12:R12,"JC")</f>
        <v/>
      </c>
      <c r="C40" s="105">
        <f>B40*8</f>
        <v/>
      </c>
      <c r="D40" s="105" t="n">
        <v>0</v>
      </c>
      <c r="E40" s="131" t="n"/>
      <c r="F40" s="106" t="n"/>
      <c r="G40" s="106" t="n"/>
      <c r="H40" s="106" t="n"/>
      <c r="I40" s="106" t="n"/>
      <c r="J40" s="106" t="n"/>
    </row>
    <row r="41" ht="15" customHeight="1" s="67">
      <c r="A41" s="105" t="inlineStr">
        <is>
          <t>RH</t>
        </is>
      </c>
      <c r="B41" s="105">
        <f>COUNTIF(B6:P6,"RH")+COUNTIF(B12:R12,"RH")</f>
        <v/>
      </c>
      <c r="C41" s="105" t="n">
        <v>0</v>
      </c>
      <c r="D41" s="105" t="n">
        <v>0</v>
      </c>
      <c r="E41" s="132" t="n"/>
      <c r="F41" s="106" t="n"/>
      <c r="G41" s="106" t="n"/>
      <c r="H41" s="106" t="n"/>
      <c r="I41" s="106" t="n"/>
      <c r="J41" s="106" t="n"/>
    </row>
    <row r="42" ht="15" customHeight="1" s="67">
      <c r="A42" s="105" t="inlineStr">
        <is>
          <t>CH</t>
        </is>
      </c>
      <c r="B42" s="105">
        <f>COUNTIF(B6:P6,"CH")+COUNTIF(B12:R12,"CH")</f>
        <v/>
      </c>
      <c r="C42" s="105" t="n">
        <v>0</v>
      </c>
      <c r="D42" s="105" t="n">
        <v>0</v>
      </c>
      <c r="E42" s="133" t="n"/>
      <c r="F42" s="106" t="n"/>
      <c r="G42" s="106" t="n"/>
      <c r="H42" s="106" t="n"/>
      <c r="I42" s="106" t="n"/>
      <c r="J42" s="106" t="n"/>
    </row>
    <row r="43" ht="15" customHeight="1" s="67">
      <c r="A43" s="105" t="inlineStr">
        <is>
          <t>RR</t>
        </is>
      </c>
      <c r="B43" s="105">
        <f>COUNTIF(B6:P6,"RR")+COUNTIF(B12:R12,"RR")</f>
        <v/>
      </c>
      <c r="C43" s="105">
        <f>B43*8</f>
        <v/>
      </c>
      <c r="D43" s="105" t="n">
        <v>0</v>
      </c>
      <c r="E43" s="134" t="n"/>
      <c r="F43" s="106" t="n"/>
      <c r="G43" s="106" t="n"/>
      <c r="H43" s="106" t="n"/>
      <c r="I43" s="106" t="n"/>
      <c r="J43" s="106" t="n"/>
    </row>
    <row r="44">
      <c r="A44" s="105" t="inlineStr">
        <is>
          <t>CV</t>
        </is>
      </c>
      <c r="B44" s="105">
        <f>COUNTIF(B6:P6,"CV")+COUNTIF(B12:R12,"CV")</f>
        <v/>
      </c>
      <c r="C44" s="105">
        <f>B44*8</f>
        <v/>
      </c>
      <c r="D44" s="105" t="n">
        <v>0</v>
      </c>
      <c r="E44" s="135" t="n"/>
      <c r="F44" s="106" t="n"/>
      <c r="G44" s="106" t="n"/>
      <c r="H44" s="106" t="n"/>
      <c r="I44" s="106" t="n"/>
      <c r="J44" s="106" t="n"/>
    </row>
    <row r="45" ht="15" customHeight="1" s="67">
      <c r="A45" s="105" t="inlineStr">
        <is>
          <t>ZM</t>
        </is>
      </c>
      <c r="B45" s="105">
        <f>COUNTIF(B6:P6,"ZM")+COUNTIF(B12:R12,"ZM")</f>
        <v/>
      </c>
      <c r="C45" s="105">
        <f>B45*8</f>
        <v/>
      </c>
      <c r="D45" s="105" t="n">
        <v>0</v>
      </c>
      <c r="E45" s="136" t="n"/>
      <c r="F45" s="106" t="n"/>
      <c r="G45" s="106" t="n"/>
      <c r="H45" s="106" t="n"/>
      <c r="I45" s="106" t="n"/>
      <c r="J45" s="106" t="n"/>
    </row>
    <row r="46">
      <c r="A46" s="129" t="inlineStr">
        <is>
          <t>TOTAL</t>
        </is>
      </c>
      <c r="B46" s="129">
        <f>SUM(B39:B45)</f>
        <v/>
      </c>
      <c r="C46" s="129">
        <f>SUM(C39:C45)</f>
        <v/>
      </c>
      <c r="D46" s="129">
        <f>SUM(D39:D45)</f>
        <v/>
      </c>
      <c r="E46" s="129" t="n"/>
      <c r="F46" s="106" t="n"/>
      <c r="G46" s="106" t="n"/>
      <c r="H46" s="106" t="n"/>
      <c r="I46" s="106" t="n"/>
      <c r="J46" s="106" t="n"/>
    </row>
    <row r="47" ht="15" customHeight="1" s="67">
      <c r="A47" s="130" t="n"/>
      <c r="B47" s="130" t="n"/>
      <c r="C47" s="130" t="n"/>
      <c r="D47" s="130" t="n"/>
      <c r="E47" s="106" t="n"/>
      <c r="F47" s="106" t="n"/>
      <c r="G47" s="106" t="n"/>
      <c r="H47" s="106" t="n"/>
      <c r="I47" s="106" t="n"/>
      <c r="J47" s="106" t="n"/>
    </row>
    <row r="48" ht="15" customHeight="1" s="67">
      <c r="A48" s="137" t="inlineStr">
        <is>
          <t>Total Heures</t>
        </is>
      </c>
      <c r="B48" s="130" t="n"/>
      <c r="C48" s="137">
        <f>C36+C46</f>
        <v/>
      </c>
      <c r="D48" s="130" t="n"/>
      <c r="E48" s="106" t="n"/>
      <c r="F48" s="106" t="n"/>
      <c r="G48" s="106" t="n"/>
      <c r="H48" s="106" t="n"/>
      <c r="I48" s="106" t="n"/>
      <c r="J48" s="106" t="n"/>
    </row>
    <row r="49" ht="15" customHeight="1" s="67">
      <c r="A49" s="130" t="n"/>
      <c r="B49" s="130" t="n"/>
      <c r="C49" s="130" t="n"/>
      <c r="D49" s="130" t="n"/>
      <c r="E49" s="106" t="n"/>
      <c r="F49" s="106" t="n"/>
      <c r="G49" s="106" t="n"/>
      <c r="H49" s="106" t="n"/>
      <c r="I49" s="106" t="n"/>
      <c r="J49" s="106" t="n"/>
    </row>
    <row r="50" ht="15" customHeight="1" s="67">
      <c r="A50" s="130" t="n"/>
      <c r="B50" s="130" t="n"/>
      <c r="C50" s="130" t="n"/>
      <c r="D50" s="130" t="n"/>
      <c r="E50" s="106" t="n"/>
      <c r="F50" s="106" t="n"/>
      <c r="G50" s="106" t="n"/>
      <c r="H50" s="106" t="n"/>
      <c r="I50" s="106" t="n"/>
      <c r="J50" s="106" t="n"/>
    </row>
    <row r="51" ht="15" customHeight="1" s="67">
      <c r="A51" s="130" t="n"/>
      <c r="B51" s="130" t="n"/>
      <c r="C51" s="130" t="n"/>
      <c r="D51" s="130" t="n"/>
      <c r="E51" s="106" t="n"/>
      <c r="F51" s="106" t="n"/>
      <c r="G51" s="106" t="n"/>
      <c r="H51" s="106" t="n"/>
      <c r="I51" s="106" t="n"/>
      <c r="J51" s="106" t="n"/>
    </row>
    <row r="52">
      <c r="A52" s="138" t="inlineStr">
        <is>
          <t>CONTRÔLES PAR PÉRIODE - SEPTEMBRE</t>
        </is>
      </c>
      <c r="B52" s="106" t="n"/>
      <c r="C52" s="106" t="n"/>
      <c r="D52" s="106" t="n"/>
      <c r="E52" s="106" t="n"/>
      <c r="F52" s="106" t="n"/>
      <c r="G52" s="106" t="n"/>
      <c r="H52" s="106" t="n"/>
      <c r="I52" s="106" t="n"/>
      <c r="J52" s="106" t="n"/>
    </row>
    <row r="53" ht="15" customHeight="1" s="67">
      <c r="A53" s="130" t="n"/>
      <c r="B53" s="106" t="n"/>
      <c r="C53" s="106" t="n"/>
      <c r="D53" s="106" t="n"/>
      <c r="E53" s="106" t="n"/>
      <c r="F53" s="106" t="n"/>
      <c r="G53" s="106" t="n"/>
      <c r="H53" s="106" t="n"/>
      <c r="I53" s="106" t="n"/>
      <c r="J53" s="106" t="n"/>
    </row>
    <row r="54">
      <c r="A54" s="104" t="inlineStr">
        <is>
          <t>Période</t>
        </is>
      </c>
      <c r="B54" s="104" t="inlineStr">
        <is>
          <t>Heures</t>
        </is>
      </c>
      <c r="C54" s="104" t="inlineStr">
        <is>
          <t>CH</t>
        </is>
      </c>
      <c r="D54" s="104" t="inlineStr">
        <is>
          <t>RH</t>
        </is>
      </c>
      <c r="E54" s="104" t="inlineStr">
        <is>
          <t>CV</t>
        </is>
      </c>
      <c r="F54" s="104" t="inlineStr">
        <is>
          <t>RR</t>
        </is>
      </c>
      <c r="G54" s="104" t="inlineStr">
        <is>
          <t>Férié Trav.</t>
        </is>
      </c>
      <c r="H54" s="104" t="inlineStr">
        <is>
          <t>Statut</t>
        </is>
      </c>
      <c r="I54" s="106" t="n"/>
      <c r="J54" s="106" t="n"/>
    </row>
    <row r="55" ht="15" customHeight="1" s="67">
      <c r="A55" s="105" t="inlineStr">
        <is>
          <t>P9</t>
        </is>
      </c>
      <c r="B55" s="105">
        <f>(COUNTIF('Août'!J12:Q12,"101") + COUNTIF('Septembre'!B6:P6,"101") + COUNTIF('Septembre'!B12:F12,"101") + COUNTIF('Août'!J12:Q12,"102") + COUNTIF('Septembre'!B6:P6,"102") + COUNTIF('Septembre'!B12:F12,"102") + COUNTIF('Août'!J12:Q12,"111") + COUNTIF('Septembre'!B6:P6,"111") + COUNTIF('Septembre'!B12:F12,"111") + COUNTIF('Août'!J12:Q12,"112") + COUNTIF('Septembre'!B6:P6,"112") + COUNTIF('Septembre'!B12:F12,"112") + COUNTIF('Août'!J12:Q12,"121") + COUNTIF('Septembre'!B6:P6,"121") + COUNTIF('Septembre'!B12:F12,"121") + COUNTIF('Août'!J12:Q12,"6101") + COUNTIF('Septembre'!B6:P6,"6101") + COUNTIF('Septembre'!B12:F12,"6101") + COUNTIF('Août'!J12:Q12,"6102") + COUNTIF('Septembre'!B6:P6,"6102") + COUNTIF('Septembre'!B12:F12,"6102") + COUNTIF('Août'!J12:Q12,"6111") + COUNTIF('Septembre'!B6:P6,"6111") + COUNTIF('Septembre'!B12:F12,"6111") + COUNTIF('Août'!J12:Q12,"6112") + COUNTIF('Septembre'!B6:P6,"6112") + COUNTIF('Septembre'!B12:F12,"6112") + COUNTIF('Août'!J12:Q12,"6121") + COUNTIF('Septembre'!B6:P6,"6121") + COUNTIF('Septembre'!B12:F12,"6121") + COUNTIF('Août'!J12:Q12,"7101") + COUNTIF('Septembre'!B6:P6,"7101") + COUNTIF('Septembre'!B12:F12,"7101") + COUNTIF('Août'!J12:Q12,"7102") + COUNTIF('Septembre'!B6:P6,"7102") + COUNTIF('Septembre'!B12:F12,"7102") + COUNTIF('Août'!J12:Q12,"7111") + COUNTIF('Septembre'!B6:P6,"7111") + COUNTIF('Septembre'!B12:F12,"7111") + COUNTIF('Août'!J12:Q12,"7112") + COUNTIF('Septembre'!B6:P6,"7112") + COUNTIF('Septembre'!B12:F12,"7112") + COUNTIF('Août'!J12:Q12,"7121") + COUNTIF('Septembre'!B6:P6,"7121") + COUNTIF('Septembre'!B12:F12,"7121") + COUNTIF('Août'!J12:Q12,"X_AM") + COUNTIF('Septembre'!B6:P6,"X_AM") + COUNTIF('Septembre'!B12:F12,"X_AM") + COUNTIF('Août'!J12:Q12,"X_PM") + COUNTIF('Septembre'!B6:P6,"X_PM") + COUNTIF('Septembre'!B12:F12,"X_PM") + COUNTIF('Août'!J12:Q12,"X_10") + COUNTIF('Septembre'!B6:P6,"X_10") + COUNTIF('Septembre'!B12:F12,"X_10") + COUNTIF('Août'!J12:Q12,"AG") + COUNTIF('Septembre'!B6:P6,"AG") + COUNTIF('Septembre'!B12:F12,"AG") + COUNTIF('Août'!J12:Q12,"CN") + COUNTIF('Septembre'!B6:P6,"CN") + COUNTIF('Septembre'!B12:F12,"CN") + COUNTIF('Août'!J12:Q12,"JC") + COUNTIF('Septembre'!B6:P6,"JC") + COUNTIF('Septembre'!B12:F12,"JC") + COUNTIF('Août'!J12:Q12,"RR") + COUNTIF('Septembre'!B6:P6,"RR") + COUNTIF('Septembre'!B12:F12,"RR") + COUNTIF('Août'!J12:Q12,"ZM") + COUNTIF('Septembre'!B6:P6,"ZM") + COUNTIF('Septembre'!B12:F12,"ZM") + COUNTIF('Août'!J12:Q12,"CV") + COUNTIF('Septembre'!B6:P6,"CV") + COUNTIF('Septembre'!B12:F12,"CV"))*8</f>
        <v/>
      </c>
      <c r="C55" s="105">
        <f>COUNTIF('Août'!J12:Q12,"CH")+COUNTIF('Septembre'!B6:P6,"CH")+COUNTIF('Septembre'!B12:F12,"CH")</f>
        <v/>
      </c>
      <c r="D55" s="105">
        <f>COUNTIF('Août'!J12:Q12,"RH")+COUNTIF('Septembre'!B6:P6,"RH")+COUNTIF('Septembre'!B12:F12,"RH")</f>
        <v/>
      </c>
      <c r="E55" s="105">
        <f>COUNTIF('Août'!J12:Q12,"CV")+COUNTIF('Septembre'!B6:P6,"CV")+COUNTIF('Septembre'!B12:F12,"CV")</f>
        <v/>
      </c>
      <c r="F55" s="105">
        <f>COUNTIF('Août'!J12:Q12,"RR")+COUNTIF('Septembre'!B6:P6,"RR")+COUNTIF('Septembre'!B12:F12,"RR")</f>
        <v/>
      </c>
      <c r="G55" s="105" t="n">
        <v>0</v>
      </c>
      <c r="H55" s="105">
        <f>IF(B55&gt;160,"⚠ &gt;160h",IF(C55&lt;&gt;4,"⚠ CH≠4",IF(D55&lt;&gt;4,"⚠ RH≠4",IF(E55&lt;&gt;1,"⚠ CV≠1",IF(AND(G55&gt;0,F55=0),"⚠ RR manquant","✓ OK")))))</f>
        <v/>
      </c>
      <c r="I55" s="106" t="n"/>
      <c r="J55" s="106" t="n"/>
    </row>
    <row r="56" ht="15" customHeight="1" s="67">
      <c r="A56" s="105" t="inlineStr">
        <is>
          <t>P10</t>
        </is>
      </c>
      <c r="B56" s="105">
        <f>(COUNTIF('Septembre'!G12:P12,"101") + COUNTIF('Octobre'!B6:P6,"101") + COUNTIF('Octobre'!B12:D12,"101") + COUNTIF('Septembre'!G12:P12,"102") + COUNTIF('Octobre'!B6:P6,"102") + COUNTIF('Octobre'!B12:D12,"102") + COUNTIF('Septembre'!G12:P12,"111") + COUNTIF('Octobre'!B6:P6,"111") + COUNTIF('Octobre'!B12:D12,"111") + COUNTIF('Septembre'!G12:P12,"112") + COUNTIF('Octobre'!B6:P6,"112") + COUNTIF('Octobre'!B12:D12,"112") + COUNTIF('Septembre'!G12:P12,"121") + COUNTIF('Octobre'!B6:P6,"121") + COUNTIF('Octobre'!B12:D12,"121") + COUNTIF('Septembre'!G12:P12,"6101") + COUNTIF('Octobre'!B6:P6,"6101") + COUNTIF('Octobre'!B12:D12,"6101") + COUNTIF('Septembre'!G12:P12,"6102") + COUNTIF('Octobre'!B6:P6,"6102") + COUNTIF('Octobre'!B12:D12,"6102") + COUNTIF('Septembre'!G12:P12,"6111") + COUNTIF('Octobre'!B6:P6,"6111") + COUNTIF('Octobre'!B12:D12,"6111") + COUNTIF('Septembre'!G12:P12,"6112") + COUNTIF('Octobre'!B6:P6,"6112") + COUNTIF('Octobre'!B12:D12,"6112") + COUNTIF('Septembre'!G12:P12,"6121") + COUNTIF('Octobre'!B6:P6,"6121") + COUNTIF('Octobre'!B12:D12,"6121") + COUNTIF('Septembre'!G12:P12,"7101") + COUNTIF('Octobre'!B6:P6,"7101") + COUNTIF('Octobre'!B12:D12,"7101") + COUNTIF('Septembre'!G12:P12,"7102") + COUNTIF('Octobre'!B6:P6,"7102") + COUNTIF('Octobre'!B12:D12,"7102") + COUNTIF('Septembre'!G12:P12,"7111") + COUNTIF('Octobre'!B6:P6,"7111") + COUNTIF('Octobre'!B12:D12,"7111") + COUNTIF('Septembre'!G12:P12,"7112") + COUNTIF('Octobre'!B6:P6,"7112") + COUNTIF('Octobre'!B12:D12,"7112") + COUNTIF('Septembre'!G12:P12,"7121") + COUNTIF('Octobre'!B6:P6,"7121") + COUNTIF('Octobre'!B12:D12,"7121") + COUNTIF('Septembre'!G12:P12,"X_AM") + COUNTIF('Octobre'!B6:P6,"X_AM") + COUNTIF('Octobre'!B12:D12,"X_AM") + COUNTIF('Septembre'!G12:P12,"X_PM") + COUNTIF('Octobre'!B6:P6,"X_PM") + COUNTIF('Octobre'!B12:D12,"X_PM") + COUNTIF('Septembre'!G12:P12,"X_10") + COUNTIF('Octobre'!B6:P6,"X_10") + COUNTIF('Octobre'!B12:D12,"X_10") + COUNTIF('Septembre'!G12:P12,"AG") + COUNTIF('Octobre'!B6:P6,"AG") + COUNTIF('Octobre'!B12:D12,"AG") + COUNTIF('Septembre'!G12:P12,"CN") + COUNTIF('Octobre'!B6:P6,"CN") + COUNTIF('Octobre'!B12:D12,"CN") + COUNTIF('Septembre'!G12:P12,"JC") + COUNTIF('Octobre'!B6:P6,"JC") + COUNTIF('Octobre'!B12:D12,"JC") + COUNTIF('Septembre'!G12:P12,"RR") + COUNTIF('Octobre'!B6:P6,"RR") + COUNTIF('Octobre'!B12:D12,"RR") + COUNTIF('Septembre'!G12:P12,"ZM") + COUNTIF('Octobre'!B6:P6,"ZM") + COUNTIF('Octobre'!B12:D12,"ZM") + COUNTIF('Septembre'!G12:P12,"CV") + COUNTIF('Octobre'!B6:P6,"CV") + COUNTIF('Octobre'!B12:D12,"CV"))*8</f>
        <v/>
      </c>
      <c r="C56" s="105">
        <f>COUNTIF('Septembre'!G12:P12,"CH")+COUNTIF('Octobre'!B6:P6,"CH")+COUNTIF('Octobre'!B12:D12,"CH")</f>
        <v/>
      </c>
      <c r="D56" s="105">
        <f>COUNTIF('Septembre'!G12:P12,"RH")+COUNTIF('Octobre'!B6:P6,"RH")+COUNTIF('Octobre'!B12:D12,"RH")</f>
        <v/>
      </c>
      <c r="E56" s="105">
        <f>COUNTIF('Septembre'!G12:P12,"CV")+COUNTIF('Octobre'!B6:P6,"CV")+COUNTIF('Octobre'!B12:D12,"CV")</f>
        <v/>
      </c>
      <c r="F56" s="105">
        <f>COUNTIF('Septembre'!G12:P12,"RR")+COUNTIF('Octobre'!B6:P6,"RR")+COUNTIF('Octobre'!B12:D12,"RR")</f>
        <v/>
      </c>
      <c r="G56" s="105" t="n">
        <v>0</v>
      </c>
      <c r="H56" s="105">
        <f>IF(B56&gt;160,"⚠ &gt;160h",IF(C56&lt;&gt;4,"⚠ CH≠4",IF(D56&lt;&gt;4,"⚠ RH≠4",IF(E56&lt;&gt;1,"⚠ CV≠1",IF(AND(G56&gt;0,F56=0),"⚠ RR manquant","✓ OK")))))</f>
        <v/>
      </c>
      <c r="I56" s="106" t="n"/>
      <c r="J56" s="106" t="n"/>
    </row>
    <row r="57" ht="15" customHeight="1" s="67">
      <c r="A57" s="130" t="n"/>
      <c r="B57" s="130" t="n"/>
      <c r="C57" s="130" t="n"/>
      <c r="D57" s="130" t="n"/>
      <c r="E57" s="106" t="n"/>
      <c r="F57" s="106" t="n"/>
      <c r="G57" s="106" t="n"/>
      <c r="H57" s="106" t="n"/>
      <c r="I57" s="106" t="n"/>
      <c r="J57" s="106" t="n"/>
    </row>
    <row r="58">
      <c r="A58" s="106" t="n"/>
      <c r="B58" s="106" t="n"/>
      <c r="C58" s="106" t="n"/>
      <c r="D58" s="106" t="n"/>
      <c r="E58" s="106" t="n"/>
      <c r="F58" s="106" t="n"/>
      <c r="G58" s="106" t="n"/>
      <c r="H58" s="106" t="n"/>
      <c r="I58" s="106" t="n"/>
      <c r="J58" s="106" t="n"/>
    </row>
    <row r="59">
      <c r="A59" s="106" t="n"/>
      <c r="B59" s="106" t="n"/>
      <c r="C59" s="106" t="n"/>
      <c r="D59" s="106" t="n"/>
      <c r="E59" s="106" t="n"/>
      <c r="F59" s="106" t="n"/>
      <c r="G59" s="106" t="n"/>
      <c r="H59" s="106" t="n"/>
      <c r="I59" s="106" t="n"/>
      <c r="J59" s="106" t="n"/>
    </row>
    <row r="60">
      <c r="A60" s="106" t="n"/>
      <c r="B60" s="106" t="n"/>
      <c r="C60" s="106" t="n"/>
      <c r="D60" s="106" t="n"/>
      <c r="E60" s="106" t="n"/>
      <c r="F60" s="106" t="n"/>
      <c r="G60" s="106" t="n"/>
      <c r="H60" s="106" t="n"/>
      <c r="I60" s="106" t="n"/>
      <c r="J60" s="106" t="n"/>
    </row>
    <row r="61">
      <c r="A61" s="106" t="n"/>
      <c r="B61" s="106" t="n"/>
      <c r="C61" s="106" t="n"/>
      <c r="D61" s="106" t="n"/>
      <c r="E61" s="106" t="n"/>
      <c r="F61" s="106" t="n"/>
      <c r="G61" s="106" t="n"/>
      <c r="H61" s="106" t="n"/>
      <c r="I61" s="106" t="n"/>
      <c r="J61" s="106" t="n"/>
    </row>
    <row r="62">
      <c r="A62" s="106" t="n"/>
      <c r="B62" s="106" t="n"/>
      <c r="C62" s="106" t="n"/>
      <c r="D62" s="106" t="n"/>
      <c r="E62" s="106" t="n"/>
      <c r="F62" s="106" t="n"/>
      <c r="G62" s="106" t="n"/>
      <c r="H62" s="106" t="n"/>
      <c r="I62" s="106" t="n"/>
      <c r="J62" s="106" t="n"/>
    </row>
    <row r="63">
      <c r="A63" s="106" t="n"/>
      <c r="B63" s="106" t="n"/>
      <c r="C63" s="106" t="n"/>
      <c r="D63" s="106" t="n"/>
      <c r="E63" s="106" t="n"/>
      <c r="F63" s="106" t="n"/>
      <c r="G63" s="106" t="n"/>
      <c r="H63" s="106" t="n"/>
      <c r="I63" s="106" t="n"/>
      <c r="J63" s="106" t="n"/>
    </row>
    <row r="64">
      <c r="A64" s="106" t="n"/>
      <c r="B64" s="106" t="n"/>
      <c r="C64" s="106" t="n"/>
      <c r="D64" s="106" t="n"/>
      <c r="E64" s="106" t="n"/>
      <c r="F64" s="106" t="n"/>
      <c r="G64" s="106" t="n"/>
      <c r="H64" s="106" t="n"/>
      <c r="I64" s="106" t="n"/>
      <c r="J64" s="106" t="n"/>
    </row>
    <row r="65">
      <c r="A65" s="106" t="n"/>
      <c r="B65" s="106" t="n"/>
      <c r="C65" s="106" t="n"/>
      <c r="D65" s="106" t="n"/>
      <c r="E65" s="106" t="n"/>
      <c r="F65" s="106" t="n"/>
      <c r="G65" s="106" t="n"/>
      <c r="H65" s="106" t="n"/>
      <c r="I65" s="106" t="n"/>
      <c r="J65" s="106" t="n"/>
    </row>
    <row r="66">
      <c r="A66" s="106" t="n"/>
      <c r="B66" s="106" t="n"/>
      <c r="C66" s="106" t="n"/>
      <c r="D66" s="106" t="n"/>
      <c r="E66" s="106" t="n"/>
      <c r="F66" s="106" t="n"/>
      <c r="G66" s="106" t="n"/>
      <c r="H66" s="106" t="n"/>
      <c r="I66" s="106" t="n"/>
      <c r="J66" s="106" t="n"/>
    </row>
    <row r="67">
      <c r="A67" s="106" t="n"/>
      <c r="B67" s="106" t="n"/>
      <c r="C67" s="106" t="n"/>
      <c r="D67" s="106" t="n"/>
      <c r="E67" s="106" t="n"/>
      <c r="F67" s="106" t="n"/>
      <c r="G67" s="106" t="n"/>
      <c r="H67" s="106" t="n"/>
      <c r="I67" s="106" t="n"/>
      <c r="J67" s="106" t="n"/>
    </row>
    <row r="68">
      <c r="A68" s="106" t="n"/>
      <c r="B68" s="106" t="n"/>
      <c r="C68" s="106" t="n"/>
      <c r="D68" s="106" t="n"/>
      <c r="E68" s="106" t="n"/>
      <c r="F68" s="106" t="n"/>
      <c r="G68" s="106" t="n"/>
      <c r="H68" s="106" t="n"/>
      <c r="I68" s="106" t="n"/>
      <c r="J68" s="106" t="n"/>
    </row>
    <row r="69">
      <c r="A69" s="106" t="n"/>
      <c r="B69" s="106" t="n"/>
      <c r="C69" s="106" t="n"/>
      <c r="D69" s="106" t="n"/>
      <c r="E69" s="106" t="n"/>
      <c r="F69" s="106" t="n"/>
      <c r="G69" s="106" t="n"/>
      <c r="H69" s="106" t="n"/>
      <c r="I69" s="106" t="n"/>
      <c r="J69" s="106" t="n"/>
    </row>
    <row r="70">
      <c r="A70" s="106" t="n"/>
      <c r="B70" s="106" t="n"/>
      <c r="C70" s="106" t="n"/>
      <c r="D70" s="106" t="n"/>
      <c r="E70" s="106" t="n"/>
      <c r="F70" s="106" t="n"/>
      <c r="G70" s="106" t="n"/>
      <c r="H70" s="106" t="n"/>
      <c r="I70" s="106" t="n"/>
      <c r="J70" s="106" t="n"/>
    </row>
    <row r="71">
      <c r="A71" s="106" t="n"/>
      <c r="B71" s="106" t="n"/>
      <c r="C71" s="106" t="n"/>
      <c r="D71" s="106" t="n"/>
      <c r="E71" s="106" t="n"/>
      <c r="F71" s="106" t="n"/>
      <c r="G71" s="106" t="n"/>
      <c r="H71" s="106" t="n"/>
      <c r="I71" s="106" t="n"/>
      <c r="J71" s="106" t="n"/>
    </row>
    <row r="72">
      <c r="A72" s="106" t="n"/>
      <c r="B72" s="106" t="n"/>
      <c r="C72" s="106" t="n"/>
      <c r="D72" s="106" t="n"/>
      <c r="E72" s="106" t="n"/>
      <c r="F72" s="106" t="n"/>
      <c r="G72" s="106" t="n"/>
      <c r="H72" s="106" t="n"/>
      <c r="I72" s="106" t="n"/>
      <c r="J72" s="106" t="n"/>
    </row>
    <row r="73">
      <c r="A73" s="106" t="n"/>
      <c r="B73" s="106" t="n"/>
      <c r="C73" s="106" t="n"/>
      <c r="D73" s="106" t="n"/>
      <c r="E73" s="106" t="n"/>
      <c r="F73" s="106" t="n"/>
      <c r="G73" s="106" t="n"/>
      <c r="H73" s="106" t="n"/>
      <c r="I73" s="106" t="n"/>
      <c r="J73" s="106" t="n"/>
    </row>
    <row r="74">
      <c r="A74" s="106" t="n"/>
      <c r="B74" s="106" t="n"/>
      <c r="C74" s="106" t="n"/>
      <c r="D74" s="106" t="n"/>
      <c r="E74" s="106" t="n"/>
      <c r="F74" s="106" t="n"/>
      <c r="G74" s="106" t="n"/>
      <c r="H74" s="106" t="n"/>
      <c r="I74" s="106" t="n"/>
      <c r="J74" s="106" t="n"/>
    </row>
    <row r="75">
      <c r="A75" s="106" t="n"/>
      <c r="B75" s="106" t="n"/>
      <c r="C75" s="106" t="n"/>
      <c r="D75" s="106" t="n"/>
      <c r="E75" s="106" t="n"/>
      <c r="F75" s="106" t="n"/>
      <c r="G75" s="106" t="n"/>
      <c r="H75" s="106" t="n"/>
      <c r="I75" s="106" t="n"/>
      <c r="J75" s="106" t="n"/>
    </row>
    <row r="76">
      <c r="A76" s="106" t="n"/>
      <c r="B76" s="106" t="n"/>
      <c r="C76" s="106" t="n"/>
      <c r="D76" s="106" t="n"/>
      <c r="E76" s="106" t="n"/>
      <c r="F76" s="106" t="n"/>
      <c r="G76" s="106" t="n"/>
      <c r="H76" s="106" t="n"/>
      <c r="I76" s="106" t="n"/>
      <c r="J76" s="106" t="n"/>
    </row>
    <row r="77">
      <c r="A77" s="106" t="n"/>
      <c r="B77" s="106" t="n"/>
      <c r="C77" s="106" t="n"/>
      <c r="D77" s="106" t="n"/>
      <c r="E77" s="106" t="n"/>
      <c r="F77" s="106" t="n"/>
      <c r="G77" s="106" t="n"/>
      <c r="H77" s="106" t="n"/>
      <c r="I77" s="106" t="n"/>
      <c r="J77" s="106" t="n"/>
    </row>
    <row r="78">
      <c r="A78" s="106" t="n"/>
      <c r="B78" s="106" t="n"/>
      <c r="C78" s="106" t="n"/>
      <c r="D78" s="106" t="n"/>
      <c r="E78" s="106" t="n"/>
      <c r="F78" s="106" t="n"/>
      <c r="G78" s="106" t="n"/>
      <c r="H78" s="106" t="n"/>
      <c r="I78" s="106" t="n"/>
      <c r="J78" s="106" t="n"/>
    </row>
    <row r="79">
      <c r="A79" s="106" t="n"/>
      <c r="B79" s="106" t="n"/>
      <c r="C79" s="106" t="n"/>
      <c r="D79" s="106" t="n"/>
      <c r="E79" s="106" t="n"/>
      <c r="F79" s="106" t="n"/>
      <c r="G79" s="106" t="n"/>
      <c r="H79" s="106" t="n"/>
      <c r="I79" s="106" t="n"/>
      <c r="J79" s="106" t="n"/>
    </row>
    <row r="80">
      <c r="A80" s="106" t="n"/>
      <c r="B80" s="106" t="n"/>
      <c r="C80" s="106" t="n"/>
      <c r="D80" s="106" t="n"/>
      <c r="E80" s="106" t="n"/>
      <c r="F80" s="106" t="n"/>
      <c r="G80" s="106" t="n"/>
      <c r="H80" s="106" t="n"/>
      <c r="I80" s="106" t="n"/>
      <c r="J80" s="106" t="n"/>
    </row>
    <row r="81">
      <c r="A81" s="106" t="n"/>
      <c r="B81" s="106" t="n"/>
      <c r="C81" s="106" t="n"/>
      <c r="D81" s="106" t="n"/>
      <c r="E81" s="106" t="n"/>
      <c r="F81" s="106" t="n"/>
      <c r="G81" s="106" t="n"/>
      <c r="H81" s="106" t="n"/>
      <c r="I81" s="106" t="n"/>
      <c r="J81" s="106" t="n"/>
    </row>
    <row r="82">
      <c r="A82" s="106" t="n"/>
      <c r="B82" s="106" t="n"/>
      <c r="C82" s="106" t="n"/>
      <c r="D82" s="106" t="n"/>
      <c r="E82" s="106" t="n"/>
      <c r="F82" s="106" t="n"/>
      <c r="G82" s="106" t="n"/>
      <c r="H82" s="106" t="n"/>
      <c r="I82" s="106" t="n"/>
      <c r="J82" s="106" t="n"/>
    </row>
    <row r="83">
      <c r="A83" s="106" t="n"/>
      <c r="B83" s="106" t="n"/>
      <c r="C83" s="106" t="n"/>
      <c r="D83" s="106" t="n"/>
      <c r="E83" s="106" t="n"/>
      <c r="F83" s="106" t="n"/>
      <c r="G83" s="106" t="n"/>
      <c r="H83" s="106" t="n"/>
      <c r="I83" s="106" t="n"/>
      <c r="J83" s="106" t="n"/>
    </row>
    <row r="84">
      <c r="A84" s="106" t="n"/>
      <c r="B84" s="106" t="n"/>
      <c r="C84" s="106" t="n"/>
      <c r="D84" s="106" t="n"/>
      <c r="E84" s="106" t="n"/>
      <c r="F84" s="106" t="n"/>
      <c r="G84" s="106" t="n"/>
      <c r="H84" s="106" t="n"/>
      <c r="I84" s="106" t="n"/>
      <c r="J84" s="106" t="n"/>
    </row>
    <row r="85">
      <c r="A85" s="106" t="n"/>
      <c r="B85" s="106" t="n"/>
      <c r="C85" s="106" t="n"/>
      <c r="D85" s="106" t="n"/>
      <c r="E85" s="106" t="n"/>
      <c r="F85" s="106" t="n"/>
      <c r="G85" s="106" t="n"/>
      <c r="H85" s="106" t="n"/>
      <c r="I85" s="106" t="n"/>
      <c r="J85" s="106" t="n"/>
    </row>
    <row r="86">
      <c r="A86" s="106" t="n"/>
      <c r="B86" s="106" t="n"/>
      <c r="C86" s="106" t="n"/>
      <c r="D86" s="106" t="n"/>
      <c r="E86" s="106" t="n"/>
      <c r="F86" s="106" t="n"/>
      <c r="G86" s="106" t="n"/>
      <c r="H86" s="106" t="n"/>
      <c r="I86" s="106" t="n"/>
      <c r="J86" s="106" t="n"/>
    </row>
    <row r="87">
      <c r="A87" s="106" t="n"/>
      <c r="B87" s="106" t="n"/>
      <c r="C87" s="106" t="n"/>
      <c r="D87" s="106" t="n"/>
      <c r="E87" s="106" t="n"/>
      <c r="F87" s="106" t="n"/>
      <c r="G87" s="106" t="n"/>
      <c r="H87" s="106" t="n"/>
      <c r="I87" s="106" t="n"/>
      <c r="J87" s="106" t="n"/>
    </row>
    <row r="88">
      <c r="A88" s="106" t="n"/>
      <c r="B88" s="106" t="n"/>
      <c r="C88" s="106" t="n"/>
      <c r="D88" s="106" t="n"/>
      <c r="E88" s="106" t="n"/>
      <c r="F88" s="106" t="n"/>
      <c r="G88" s="106" t="n"/>
      <c r="H88" s="106" t="n"/>
      <c r="I88" s="106" t="n"/>
      <c r="J88" s="106" t="n"/>
    </row>
    <row r="89">
      <c r="A89" s="106" t="n"/>
      <c r="B89" s="106" t="n"/>
      <c r="C89" s="106" t="n"/>
      <c r="D89" s="106" t="n"/>
      <c r="E89" s="106" t="n"/>
      <c r="F89" s="106" t="n"/>
      <c r="G89" s="106" t="n"/>
      <c r="H89" s="106" t="n"/>
      <c r="I89" s="106" t="n"/>
      <c r="J89" s="106" t="n"/>
    </row>
    <row r="90">
      <c r="A90" s="106" t="n"/>
      <c r="B90" s="106" t="n"/>
      <c r="C90" s="106" t="n"/>
      <c r="D90" s="106" t="n"/>
      <c r="E90" s="106" t="n"/>
      <c r="F90" s="106" t="n"/>
      <c r="G90" s="106" t="n"/>
      <c r="H90" s="106" t="n"/>
      <c r="I90" s="106" t="n"/>
      <c r="J90" s="106" t="n"/>
    </row>
    <row r="91">
      <c r="A91" s="106" t="n"/>
      <c r="B91" s="106" t="n"/>
      <c r="C91" s="106" t="n"/>
      <c r="D91" s="106" t="n"/>
      <c r="E91" s="106" t="n"/>
      <c r="F91" s="106" t="n"/>
      <c r="G91" s="106" t="n"/>
      <c r="H91" s="106" t="n"/>
      <c r="I91" s="106" t="n"/>
      <c r="J91" s="106" t="n"/>
    </row>
    <row r="92">
      <c r="A92" s="106" t="n"/>
      <c r="B92" s="106" t="n"/>
      <c r="C92" s="106" t="n"/>
      <c r="D92" s="106" t="n"/>
      <c r="E92" s="106" t="n"/>
      <c r="F92" s="106" t="n"/>
      <c r="G92" s="106" t="n"/>
      <c r="H92" s="106" t="n"/>
      <c r="I92" s="106" t="n"/>
      <c r="J92" s="106" t="n"/>
    </row>
    <row r="93">
      <c r="A93" s="106" t="n"/>
      <c r="B93" s="106" t="n"/>
      <c r="C93" s="106" t="n"/>
      <c r="D93" s="106" t="n"/>
      <c r="E93" s="106" t="n"/>
      <c r="F93" s="106" t="n"/>
      <c r="G93" s="106" t="n"/>
      <c r="H93" s="106" t="n"/>
      <c r="I93" s="106" t="n"/>
      <c r="J93" s="106" t="n"/>
    </row>
    <row r="94">
      <c r="A94" s="106" t="n"/>
      <c r="B94" s="106" t="n"/>
      <c r="C94" s="106" t="n"/>
      <c r="D94" s="106" t="n"/>
      <c r="E94" s="106" t="n"/>
      <c r="F94" s="106" t="n"/>
      <c r="G94" s="106" t="n"/>
      <c r="H94" s="106" t="n"/>
      <c r="I94" s="106" t="n"/>
      <c r="J94" s="106" t="n"/>
    </row>
    <row r="95">
      <c r="A95" s="106" t="n"/>
      <c r="B95" s="106" t="n"/>
      <c r="C95" s="106" t="n"/>
      <c r="D95" s="106" t="n"/>
      <c r="E95" s="106" t="n"/>
      <c r="F95" s="106" t="n"/>
      <c r="G95" s="106" t="n"/>
      <c r="H95" s="106" t="n"/>
      <c r="I95" s="106" t="n"/>
      <c r="J95" s="106" t="n"/>
    </row>
    <row r="96">
      <c r="A96" s="106" t="n"/>
      <c r="B96" s="106" t="n"/>
      <c r="C96" s="106" t="n"/>
      <c r="D96" s="106" t="n"/>
      <c r="E96" s="106" t="n"/>
      <c r="F96" s="106" t="n"/>
      <c r="G96" s="106" t="n"/>
      <c r="H96" s="106" t="n"/>
      <c r="I96" s="106" t="n"/>
      <c r="J96" s="106" t="n"/>
    </row>
    <row r="97">
      <c r="A97" s="106" t="n"/>
      <c r="B97" s="106" t="n"/>
      <c r="C97" s="106" t="n"/>
      <c r="D97" s="106" t="n"/>
      <c r="E97" s="106" t="n"/>
      <c r="F97" s="106" t="n"/>
      <c r="G97" s="106" t="n"/>
      <c r="H97" s="106" t="n"/>
      <c r="I97" s="106" t="n"/>
      <c r="J97" s="106" t="n"/>
    </row>
    <row r="98">
      <c r="A98" s="106" t="n"/>
      <c r="B98" s="106" t="n"/>
      <c r="C98" s="106" t="n"/>
      <c r="D98" s="106" t="n"/>
      <c r="E98" s="106" t="n"/>
      <c r="F98" s="106" t="n"/>
      <c r="G98" s="106" t="n"/>
      <c r="H98" s="106" t="n"/>
      <c r="I98" s="106" t="n"/>
      <c r="J98" s="106" t="n"/>
    </row>
    <row r="99">
      <c r="A99" s="106" t="n"/>
      <c r="B99" s="106" t="n"/>
      <c r="C99" s="106" t="n"/>
      <c r="D99" s="106" t="n"/>
      <c r="E99" s="106" t="n"/>
      <c r="F99" s="106" t="n"/>
      <c r="G99" s="106" t="n"/>
      <c r="H99" s="106" t="n"/>
      <c r="I99" s="106" t="n"/>
      <c r="J99" s="106" t="n"/>
    </row>
    <row r="100">
      <c r="A100" s="106" t="n"/>
      <c r="B100" s="106" t="n"/>
      <c r="C100" s="106" t="n"/>
      <c r="D100" s="106" t="n"/>
      <c r="E100" s="106" t="n"/>
      <c r="F100" s="106" t="n"/>
      <c r="G100" s="106" t="n"/>
      <c r="H100" s="106" t="n"/>
      <c r="I100" s="106" t="n"/>
      <c r="J100" s="106" t="n"/>
    </row>
  </sheetData>
  <mergeCells count="1">
    <mergeCell ref="A1:P1"/>
  </mergeCells>
  <conditionalFormatting sqref="B6:P6 B12:P12">
    <cfRule type="cellIs" rank="0" priority="2" equalAverage="0" operator="equal" aboveAverage="0" dxfId="0" text="" percent="0" bottom="0">
      <formula>101</formula>
    </cfRule>
    <cfRule type="cellIs" rank="0" priority="3" equalAverage="0" operator="equal" aboveAverage="0" dxfId="1" text="" percent="0" bottom="0">
      <formula>102</formula>
    </cfRule>
    <cfRule type="cellIs" rank="0" priority="4" equalAverage="0" operator="equal" aboveAverage="0" dxfId="2" text="" percent="0" bottom="0">
      <formula>111</formula>
    </cfRule>
    <cfRule type="cellIs" rank="0" priority="5" equalAverage="0" operator="equal" aboveAverage="0" dxfId="3" text="" percent="0" bottom="0">
      <formula>112</formula>
    </cfRule>
    <cfRule type="cellIs" rank="0" priority="6" equalAverage="0" operator="equal" aboveAverage="0" dxfId="4" text="" percent="0" bottom="0">
      <formula>121</formula>
    </cfRule>
    <cfRule type="cellIs" rank="0" priority="7" equalAverage="0" operator="equal" aboveAverage="0" dxfId="0" text="" percent="0" bottom="0">
      <formula>6101</formula>
    </cfRule>
    <cfRule type="cellIs" rank="0" priority="8" equalAverage="0" operator="equal" aboveAverage="0" dxfId="1" text="" percent="0" bottom="0">
      <formula>6102</formula>
    </cfRule>
    <cfRule type="cellIs" rank="0" priority="9" equalAverage="0" operator="equal" aboveAverage="0" dxfId="2" text="" percent="0" bottom="0">
      <formula>6111</formula>
    </cfRule>
    <cfRule type="cellIs" rank="0" priority="10" equalAverage="0" operator="equal" aboveAverage="0" dxfId="3" text="" percent="0" bottom="0">
      <formula>6112</formula>
    </cfRule>
    <cfRule type="cellIs" rank="0" priority="11" equalAverage="0" operator="equal" aboveAverage="0" dxfId="4" text="" percent="0" bottom="0">
      <formula>6121</formula>
    </cfRule>
    <cfRule type="cellIs" rank="0" priority="12" equalAverage="0" operator="equal" aboveAverage="0" dxfId="0" text="" percent="0" bottom="0">
      <formula>7101</formula>
    </cfRule>
    <cfRule type="cellIs" rank="0" priority="13" equalAverage="0" operator="equal" aboveAverage="0" dxfId="1" text="" percent="0" bottom="0">
      <formula>7102</formula>
    </cfRule>
    <cfRule type="cellIs" rank="0" priority="14" equalAverage="0" operator="equal" aboveAverage="0" dxfId="2" text="" percent="0" bottom="0">
      <formula>7111</formula>
    </cfRule>
    <cfRule type="cellIs" rank="0" priority="15" equalAverage="0" operator="equal" aboveAverage="0" dxfId="3" text="" percent="0" bottom="0">
      <formula>7112</formula>
    </cfRule>
    <cfRule type="cellIs" rank="0" priority="16" equalAverage="0" operator="equal" aboveAverage="0" dxfId="4" text="" percent="0" bottom="0">
      <formula>7121</formula>
    </cfRule>
    <cfRule type="cellIs" rank="0" priority="17" equalAverage="0" operator="equal" aboveAverage="0" dxfId="5" text="" percent="0" bottom="0">
      <formula>"X_AM"</formula>
    </cfRule>
    <cfRule type="cellIs" rank="0" priority="18" equalAverage="0" operator="equal" aboveAverage="0" dxfId="5" text="" percent="0" bottom="0">
      <formula>"X_PM"</formula>
    </cfRule>
    <cfRule type="cellIs" rank="0" priority="19" equalAverage="0" operator="equal" aboveAverage="0" dxfId="6" text="" percent="0" bottom="0">
      <formula>"X_10"</formula>
    </cfRule>
    <cfRule type="cellIs" rank="0" priority="20" equalAverage="0" operator="equal" aboveAverage="0" dxfId="7" text="" percent="0" bottom="0">
      <formula>"CN"</formula>
    </cfRule>
    <cfRule type="cellIs" rank="0" priority="21" equalAverage="0" operator="equal" aboveAverage="0" dxfId="7" text="" percent="0" bottom="0">
      <formula>"JC"</formula>
    </cfRule>
    <cfRule type="cellIs" rank="0" priority="22" equalAverage="0" operator="equal" aboveAverage="0" dxfId="8" text="" percent="0" bottom="0">
      <formula>"RH"</formula>
    </cfRule>
    <cfRule type="cellIs" rank="0" priority="23" equalAverage="0" operator="equal" aboveAverage="0" dxfId="9" text="" percent="0" bottom="0">
      <formula>"CH"</formula>
    </cfRule>
    <cfRule type="cellIs" rank="0" priority="24" equalAverage="0" operator="equal" aboveAverage="0" dxfId="10" text="" percent="0" bottom="0">
      <formula>"RR"</formula>
    </cfRule>
    <cfRule type="cellIs" rank="0" priority="25" equalAverage="0" operator="equal" aboveAverage="0" dxfId="11" text="" percent="0" bottom="0">
      <formula>"ZM"</formula>
    </cfRule>
  </conditionalFormatting>
  <conditionalFormatting sqref="B56 B57">
    <cfRule type="cellIs" rank="0" priority="26" equalAverage="0" operator="greaterThan" aboveAverage="0" dxfId="12" text="" percent="0" bottom="0">
      <formula>160</formula>
    </cfRule>
  </conditionalFormatting>
  <conditionalFormatting sqref="B6:Q6">
    <cfRule type="cellIs" priority="26" operator="equal" dxfId="13">
      <formula>"CV"</formula>
    </cfRule>
    <cfRule type="cellIs" priority="27" operator="equal" dxfId="14">
      <formula>"AG"</formula>
    </cfRule>
  </conditionalFormatting>
  <conditionalFormatting sqref="B12:Q12">
    <cfRule type="cellIs" priority="28" operator="equal" dxfId="13">
      <formula>"CV"</formula>
    </cfRule>
    <cfRule type="cellIs" priority="29" operator="equal" dxfId="14">
      <formula>"AG"</formula>
    </cfRule>
  </conditionalFormatting>
  <conditionalFormatting sqref="B55">
    <cfRule type="cellIs" priority="30" operator="greaterThan" dxfId="15">
      <formula>160</formula>
    </cfRule>
  </conditionalFormatting>
  <conditionalFormatting sqref="C55">
    <cfRule type="cellIs" priority="31" operator="notEqual" dxfId="16">
      <formula>4</formula>
    </cfRule>
  </conditionalFormatting>
  <conditionalFormatting sqref="D55">
    <cfRule type="cellIs" priority="32" operator="notEqual" dxfId="16">
      <formula>4</formula>
    </cfRule>
  </conditionalFormatting>
  <conditionalFormatting sqref="E55">
    <cfRule type="cellIs" priority="33" operator="notEqual" dxfId="16">
      <formula>1</formula>
    </cfRule>
  </conditionalFormatting>
  <conditionalFormatting sqref="H55">
    <cfRule type="cellIs" priority="34" operator="equal" dxfId="17">
      <formula>"✓ OK"</formula>
    </cfRule>
    <cfRule type="cellIs" priority="35" operator="notEqual" dxfId="15">
      <formula>"✓ OK"</formula>
    </cfRule>
  </conditionalFormatting>
  <conditionalFormatting sqref="B56">
    <cfRule type="cellIs" priority="36" operator="greaterThan" dxfId="15">
      <formula>160</formula>
    </cfRule>
  </conditionalFormatting>
  <conditionalFormatting sqref="C56">
    <cfRule type="cellIs" priority="37" operator="notEqual" dxfId="16">
      <formula>4</formula>
    </cfRule>
  </conditionalFormatting>
  <conditionalFormatting sqref="D56">
    <cfRule type="cellIs" priority="38" operator="notEqual" dxfId="16">
      <formula>4</formula>
    </cfRule>
  </conditionalFormatting>
  <conditionalFormatting sqref="E56">
    <cfRule type="cellIs" priority="39" operator="notEqual" dxfId="16">
      <formula>1</formula>
    </cfRule>
  </conditionalFormatting>
  <conditionalFormatting sqref="H56">
    <cfRule type="cellIs" priority="40" operator="equal" dxfId="17">
      <formula>"✓ OK"</formula>
    </cfRule>
    <cfRule type="cellIs" priority="41" operator="notEqual" dxfId="15">
      <formula>"✓ OK"</formula>
    </cfRule>
  </conditionalFormatting>
  <dataValidations count="1">
    <dataValidation sqref="B6:Q6 B12:Q12" showDropDown="0" showInputMessage="0" showErrorMessage="0" allowBlank="1" type="list">
      <formula1>"101,102,111,112,121,6101,6102,6111,6112,6121,7101,7102,7111,7112,7121,X_AM,X_PM,X_10,AG,CN,JC,RH,CH,RR,CV,ZM"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Q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L48:L49 A1"/>
    </sheetView>
  </sheetViews>
  <sheetFormatPr baseColWidth="8" defaultColWidth="8.6796875" defaultRowHeight="15" customHeight="0" zeroHeight="0" outlineLevelRow="0"/>
  <cols>
    <col width="45" customWidth="1" style="66" min="1" max="1"/>
    <col width="10" customWidth="1" style="66" min="2" max="17"/>
  </cols>
  <sheetData>
    <row r="1" ht="24.75" customHeight="1" s="67">
      <c r="A1" s="107" t="inlineStr">
        <is>
          <t>OCTOBRE 2026</t>
        </is>
      </c>
      <c r="Q1" s="69" t="n"/>
    </row>
    <row r="2" ht="15" customHeight="1" s="67">
      <c r="A2" s="69" t="n"/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</row>
    <row r="3" ht="15" customHeight="1" s="67">
      <c r="A3" s="108" t="inlineStr">
        <is>
          <t>Jours 1-15</t>
        </is>
      </c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</row>
    <row r="4" ht="18" customHeight="1" s="67">
      <c r="A4" s="76" t="inlineStr">
        <is>
          <t>Jour</t>
        </is>
      </c>
      <c r="B4" s="110" t="n">
        <v>1</v>
      </c>
      <c r="C4" s="110" t="n">
        <v>2</v>
      </c>
      <c r="D4" s="111" t="n">
        <v>3</v>
      </c>
      <c r="E4" s="111" t="n">
        <v>4</v>
      </c>
      <c r="F4" s="110" t="n">
        <v>5</v>
      </c>
      <c r="G4" s="110" t="n">
        <v>6</v>
      </c>
      <c r="H4" s="110" t="n">
        <v>7</v>
      </c>
      <c r="I4" s="110" t="n">
        <v>8</v>
      </c>
      <c r="J4" s="110" t="n">
        <v>9</v>
      </c>
      <c r="K4" s="111" t="n">
        <v>10</v>
      </c>
      <c r="L4" s="111" t="n">
        <v>11</v>
      </c>
      <c r="M4" s="110" t="n">
        <v>12</v>
      </c>
      <c r="N4" s="110" t="n">
        <v>13</v>
      </c>
      <c r="O4" s="110" t="n">
        <v>14</v>
      </c>
      <c r="P4" s="110" t="n">
        <v>15</v>
      </c>
      <c r="Q4" s="69" t="n"/>
    </row>
    <row r="5" ht="18" customHeight="1" s="67">
      <c r="A5" s="76" t="inlineStr">
        <is>
          <t>J.sem</t>
        </is>
      </c>
      <c r="B5" s="110" t="inlineStr">
        <is>
          <t>J</t>
        </is>
      </c>
      <c r="C5" s="110" t="inlineStr">
        <is>
          <t>V</t>
        </is>
      </c>
      <c r="D5" s="111" t="inlineStr">
        <is>
          <t>S</t>
        </is>
      </c>
      <c r="E5" s="111" t="inlineStr">
        <is>
          <t>D</t>
        </is>
      </c>
      <c r="F5" s="110" t="inlineStr">
        <is>
          <t>L</t>
        </is>
      </c>
      <c r="G5" s="110" t="inlineStr">
        <is>
          <t>M</t>
        </is>
      </c>
      <c r="H5" s="110" t="inlineStr">
        <is>
          <t>M</t>
        </is>
      </c>
      <c r="I5" s="110" t="inlineStr">
        <is>
          <t>J</t>
        </is>
      </c>
      <c r="J5" s="110" t="inlineStr">
        <is>
          <t>V</t>
        </is>
      </c>
      <c r="K5" s="111" t="inlineStr">
        <is>
          <t>S</t>
        </is>
      </c>
      <c r="L5" s="111" t="inlineStr">
        <is>
          <t>D</t>
        </is>
      </c>
      <c r="M5" s="110" t="inlineStr">
        <is>
          <t>L</t>
        </is>
      </c>
      <c r="N5" s="110" t="inlineStr">
        <is>
          <t>M</t>
        </is>
      </c>
      <c r="O5" s="110" t="inlineStr">
        <is>
          <t>M</t>
        </is>
      </c>
      <c r="P5" s="110" t="inlineStr">
        <is>
          <t>J</t>
        </is>
      </c>
      <c r="Q5" s="69" t="n"/>
    </row>
    <row r="6" ht="24.75" customHeight="1" s="67">
      <c r="A6" s="76" t="inlineStr">
        <is>
          <t>Code</t>
        </is>
      </c>
      <c r="B6" s="114" t="n"/>
      <c r="C6" s="114" t="n"/>
      <c r="D6" s="114" t="n"/>
      <c r="E6" s="114" t="n"/>
      <c r="F6" s="114" t="n"/>
      <c r="G6" s="114" t="n"/>
      <c r="H6" s="114" t="n"/>
      <c r="I6" s="114" t="n"/>
      <c r="J6" s="114" t="n"/>
      <c r="K6" s="114" t="n"/>
      <c r="L6" s="114" t="n"/>
      <c r="M6" s="114" t="n"/>
      <c r="N6" s="114" t="n"/>
      <c r="O6" s="114" t="n"/>
      <c r="P6" s="114" t="n"/>
      <c r="Q6" s="69" t="n"/>
    </row>
    <row r="7" ht="15" customHeight="1" s="67">
      <c r="A7" s="76" t="inlineStr">
        <is>
          <t>Période</t>
        </is>
      </c>
      <c r="B7" s="118" t="inlineStr">
        <is>
          <t>P10</t>
        </is>
      </c>
      <c r="C7" s="118" t="inlineStr">
        <is>
          <t>P10</t>
        </is>
      </c>
      <c r="D7" s="118" t="inlineStr">
        <is>
          <t>P10</t>
        </is>
      </c>
      <c r="E7" s="118" t="inlineStr">
        <is>
          <t>P10</t>
        </is>
      </c>
      <c r="F7" s="118" t="inlineStr">
        <is>
          <t>P10</t>
        </is>
      </c>
      <c r="G7" s="118" t="inlineStr">
        <is>
          <t>P10</t>
        </is>
      </c>
      <c r="H7" s="118" t="inlineStr">
        <is>
          <t>P10</t>
        </is>
      </c>
      <c r="I7" s="118" t="inlineStr">
        <is>
          <t>P10</t>
        </is>
      </c>
      <c r="J7" s="118" t="inlineStr">
        <is>
          <t>P10</t>
        </is>
      </c>
      <c r="K7" s="118" t="inlineStr">
        <is>
          <t>P10</t>
        </is>
      </c>
      <c r="L7" s="118" t="inlineStr">
        <is>
          <t>P10</t>
        </is>
      </c>
      <c r="M7" s="118" t="inlineStr">
        <is>
          <t>P10</t>
        </is>
      </c>
      <c r="N7" s="118" t="inlineStr">
        <is>
          <t>P10</t>
        </is>
      </c>
      <c r="O7" s="118" t="inlineStr">
        <is>
          <t>P10</t>
        </is>
      </c>
      <c r="P7" s="118" t="inlineStr">
        <is>
          <t>P10</t>
        </is>
      </c>
      <c r="Q7" s="69" t="n"/>
    </row>
    <row r="8" ht="15" customHeight="1" s="67">
      <c r="A8" s="69" t="n"/>
      <c r="B8" s="69" t="n"/>
      <c r="C8" s="69" t="n"/>
      <c r="D8" s="69" t="n"/>
      <c r="E8" s="69" t="n"/>
      <c r="F8" s="69" t="n"/>
      <c r="G8" s="69" t="n"/>
      <c r="H8" s="69" t="n"/>
      <c r="I8" s="69" t="n"/>
      <c r="J8" s="69" t="n"/>
      <c r="K8" s="69" t="n"/>
      <c r="L8" s="69" t="n"/>
      <c r="M8" s="69" t="n"/>
      <c r="N8" s="69" t="n"/>
      <c r="O8" s="69" t="n"/>
      <c r="P8" s="69" t="n"/>
      <c r="Q8" s="69" t="n"/>
    </row>
    <row r="9" ht="15" customHeight="1" s="67">
      <c r="A9" s="108" t="inlineStr">
        <is>
          <t>Jours 16-31</t>
        </is>
      </c>
      <c r="B9" s="69" t="n"/>
      <c r="C9" s="69" t="n"/>
      <c r="D9" s="69" t="n"/>
      <c r="E9" s="69" t="n"/>
      <c r="F9" s="69" t="n"/>
      <c r="G9" s="69" t="n"/>
      <c r="H9" s="69" t="n"/>
      <c r="I9" s="69" t="n"/>
      <c r="J9" s="69" t="n"/>
      <c r="K9" s="69" t="n"/>
      <c r="L9" s="69" t="n"/>
      <c r="M9" s="69" t="n"/>
      <c r="N9" s="69" t="n"/>
      <c r="O9" s="69" t="n"/>
      <c r="P9" s="69" t="n"/>
      <c r="Q9" s="69" t="n"/>
    </row>
    <row r="10" ht="18" customHeight="1" s="67">
      <c r="A10" s="76" t="inlineStr">
        <is>
          <t>Jour</t>
        </is>
      </c>
      <c r="B10" s="110" t="n">
        <v>16</v>
      </c>
      <c r="C10" s="111" t="n">
        <v>17</v>
      </c>
      <c r="D10" s="112" t="n">
        <v>18</v>
      </c>
      <c r="E10" s="112" t="n">
        <v>19</v>
      </c>
      <c r="F10" s="110" t="n">
        <v>20</v>
      </c>
      <c r="G10" s="110" t="n">
        <v>21</v>
      </c>
      <c r="H10" s="110" t="n">
        <v>22</v>
      </c>
      <c r="I10" s="110" t="n">
        <v>23</v>
      </c>
      <c r="J10" s="111" t="n">
        <v>24</v>
      </c>
      <c r="K10" s="111" t="n">
        <v>25</v>
      </c>
      <c r="L10" s="110" t="n">
        <v>26</v>
      </c>
      <c r="M10" s="110" t="n">
        <v>27</v>
      </c>
      <c r="N10" s="110" t="n">
        <v>28</v>
      </c>
      <c r="O10" s="119" t="n">
        <v>29</v>
      </c>
      <c r="P10" s="119" t="n">
        <v>30</v>
      </c>
      <c r="Q10" s="120" t="n">
        <v>31</v>
      </c>
    </row>
    <row r="11" ht="18" customHeight="1" s="67">
      <c r="A11" s="76" t="inlineStr">
        <is>
          <t>J.sem</t>
        </is>
      </c>
      <c r="B11" s="110" t="inlineStr">
        <is>
          <t>V</t>
        </is>
      </c>
      <c r="C11" s="111" t="inlineStr">
        <is>
          <t>S</t>
        </is>
      </c>
      <c r="D11" s="112" t="inlineStr">
        <is>
          <t>D</t>
        </is>
      </c>
      <c r="E11" s="112" t="inlineStr">
        <is>
          <t>L</t>
        </is>
      </c>
      <c r="F11" s="110" t="inlineStr">
        <is>
          <t>M</t>
        </is>
      </c>
      <c r="G11" s="110" t="inlineStr">
        <is>
          <t>M</t>
        </is>
      </c>
      <c r="H11" s="110" t="inlineStr">
        <is>
          <t>J</t>
        </is>
      </c>
      <c r="I11" s="110" t="inlineStr">
        <is>
          <t>V</t>
        </is>
      </c>
      <c r="J11" s="111" t="inlineStr">
        <is>
          <t>S</t>
        </is>
      </c>
      <c r="K11" s="111" t="inlineStr">
        <is>
          <t>D</t>
        </is>
      </c>
      <c r="L11" s="110" t="inlineStr">
        <is>
          <t>L</t>
        </is>
      </c>
      <c r="M11" s="110" t="inlineStr">
        <is>
          <t>M</t>
        </is>
      </c>
      <c r="N11" s="110" t="inlineStr">
        <is>
          <t>M</t>
        </is>
      </c>
      <c r="O11" s="119" t="inlineStr">
        <is>
          <t>J</t>
        </is>
      </c>
      <c r="P11" s="119" t="inlineStr">
        <is>
          <t>V</t>
        </is>
      </c>
      <c r="Q11" s="120" t="inlineStr">
        <is>
          <t>S</t>
        </is>
      </c>
    </row>
    <row r="12" ht="24.75" customHeight="1" s="67">
      <c r="A12" s="76" t="inlineStr">
        <is>
          <t>Code</t>
        </is>
      </c>
      <c r="B12" s="114" t="n"/>
      <c r="C12" s="114" t="n"/>
      <c r="D12" s="139" t="n"/>
      <c r="E12" s="115" t="n"/>
      <c r="F12" s="114" t="n"/>
      <c r="G12" s="114" t="n"/>
      <c r="H12" s="114" t="n"/>
      <c r="I12" s="114" t="n"/>
      <c r="J12" s="114" t="n"/>
      <c r="K12" s="114" t="n"/>
      <c r="L12" s="114" t="n"/>
      <c r="M12" s="114" t="n"/>
      <c r="N12" s="114" t="n"/>
      <c r="O12" s="114" t="n"/>
      <c r="P12" s="114" t="n"/>
      <c r="Q12" s="114" t="n"/>
    </row>
    <row r="13" ht="15" customHeight="1" s="67">
      <c r="A13" s="76" t="inlineStr">
        <is>
          <t>Période</t>
        </is>
      </c>
      <c r="B13" s="118" t="inlineStr">
        <is>
          <t>P10</t>
        </is>
      </c>
      <c r="C13" s="118" t="inlineStr">
        <is>
          <t>P10</t>
        </is>
      </c>
      <c r="D13" s="117" t="inlineStr">
        <is>
          <t>P10</t>
        </is>
      </c>
      <c r="E13" s="117" t="inlineStr">
        <is>
          <t>P11</t>
        </is>
      </c>
      <c r="F13" s="118" t="inlineStr">
        <is>
          <t>P11</t>
        </is>
      </c>
      <c r="G13" s="118" t="inlineStr">
        <is>
          <t>P11</t>
        </is>
      </c>
      <c r="H13" s="118" t="inlineStr">
        <is>
          <t>P11</t>
        </is>
      </c>
      <c r="I13" s="118" t="inlineStr">
        <is>
          <t>P11</t>
        </is>
      </c>
      <c r="J13" s="118" t="inlineStr">
        <is>
          <t>P11</t>
        </is>
      </c>
      <c r="K13" s="118" t="inlineStr">
        <is>
          <t>P11</t>
        </is>
      </c>
      <c r="L13" s="118" t="inlineStr">
        <is>
          <t>P11</t>
        </is>
      </c>
      <c r="M13" s="118" t="inlineStr">
        <is>
          <t>P11</t>
        </is>
      </c>
      <c r="N13" s="118" t="inlineStr">
        <is>
          <t>P11</t>
        </is>
      </c>
      <c r="O13" s="118" t="inlineStr">
        <is>
          <t>P11</t>
        </is>
      </c>
      <c r="P13" s="118" t="inlineStr">
        <is>
          <t>P11</t>
        </is>
      </c>
      <c r="Q13" s="118" t="inlineStr">
        <is>
          <t>P11</t>
        </is>
      </c>
    </row>
    <row r="16" ht="15" customHeight="1" s="67">
      <c r="A16" s="104" t="inlineStr">
        <is>
          <t>Prestations</t>
        </is>
      </c>
      <c r="B16" s="104" t="inlineStr">
        <is>
          <t>Jours</t>
        </is>
      </c>
      <c r="C16" s="104" t="inlineStr">
        <is>
          <t>H. Totales</t>
        </is>
      </c>
      <c r="D16" s="104" t="inlineStr">
        <is>
          <t>H. Nuit</t>
        </is>
      </c>
      <c r="E16" s="104" t="inlineStr">
        <is>
          <t>Couleur</t>
        </is>
      </c>
      <c r="F16" s="106" t="n"/>
      <c r="G16" s="106" t="n"/>
      <c r="H16" s="106" t="n"/>
      <c r="I16" s="106" t="n"/>
      <c r="J16" s="106" t="n"/>
    </row>
    <row r="17">
      <c r="A17" s="105" t="inlineStr">
        <is>
          <t>101</t>
        </is>
      </c>
      <c r="B17" s="105">
        <f>COUNTIF(B6:P6,"101")+COUNTIF(B12:R12,"101")</f>
        <v/>
      </c>
      <c r="C17" s="105">
        <f>B17*8</f>
        <v/>
      </c>
      <c r="D17" s="105">
        <f>B17*2</f>
        <v/>
      </c>
      <c r="E17" s="121" t="n"/>
      <c r="F17" s="106" t="n"/>
      <c r="G17" s="106" t="n"/>
      <c r="H17" s="106" t="n"/>
      <c r="I17" s="106" t="n"/>
      <c r="J17" s="106" t="n"/>
    </row>
    <row r="18" ht="15" customHeight="1" s="67">
      <c r="A18" s="105" t="inlineStr">
        <is>
          <t>102</t>
        </is>
      </c>
      <c r="B18" s="105">
        <f>COUNTIF(B6:P6,"102")+COUNTIF(B12:R12,"102")</f>
        <v/>
      </c>
      <c r="C18" s="105">
        <f>B18*8</f>
        <v/>
      </c>
      <c r="D18" s="105">
        <f>B18*2</f>
        <v/>
      </c>
      <c r="E18" s="122" t="n"/>
      <c r="F18" s="106" t="n"/>
      <c r="G18" s="106" t="n"/>
      <c r="H18" s="106" t="n"/>
      <c r="I18" s="106" t="n"/>
      <c r="J18" s="106" t="n"/>
    </row>
    <row r="19" ht="15" customHeight="1" s="67">
      <c r="A19" s="105" t="inlineStr">
        <is>
          <t>111</t>
        </is>
      </c>
      <c r="B19" s="105">
        <f>COUNTIF(B6:P6,"111")+COUNTIF(B12:R12,"111")</f>
        <v/>
      </c>
      <c r="C19" s="105">
        <f>B19*8</f>
        <v/>
      </c>
      <c r="D19" s="105">
        <f>B19*2</f>
        <v/>
      </c>
      <c r="E19" s="123" t="n"/>
      <c r="F19" s="106" t="n"/>
      <c r="G19" s="106" t="n"/>
      <c r="H19" s="106" t="n"/>
      <c r="I19" s="106" t="n"/>
      <c r="J19" s="106" t="n"/>
    </row>
    <row r="20" ht="15" customHeight="1" s="67">
      <c r="A20" s="105" t="inlineStr">
        <is>
          <t>112</t>
        </is>
      </c>
      <c r="B20" s="105">
        <f>COUNTIF(B6:P6,"112")+COUNTIF(B12:R12,"112")</f>
        <v/>
      </c>
      <c r="C20" s="105">
        <f>B20*8</f>
        <v/>
      </c>
      <c r="D20" s="105">
        <f>B20*2</f>
        <v/>
      </c>
      <c r="E20" s="124" t="n"/>
      <c r="F20" s="106" t="n"/>
      <c r="G20" s="106" t="n"/>
      <c r="H20" s="106" t="n"/>
      <c r="I20" s="106" t="n"/>
      <c r="J20" s="106" t="n"/>
    </row>
    <row r="21" ht="15" customHeight="1" s="67">
      <c r="A21" s="105" t="inlineStr">
        <is>
          <t>121</t>
        </is>
      </c>
      <c r="B21" s="105">
        <f>COUNTIF(B6:P6,"121")+COUNTIF(B12:R12,"121")</f>
        <v/>
      </c>
      <c r="C21" s="105">
        <f>B21*8</f>
        <v/>
      </c>
      <c r="D21" s="105">
        <f>B21*8</f>
        <v/>
      </c>
      <c r="E21" s="125" t="n"/>
      <c r="F21" s="106" t="n"/>
      <c r="G21" s="106" t="n"/>
      <c r="H21" s="106" t="n"/>
      <c r="I21" s="106" t="n"/>
      <c r="J21" s="106" t="n"/>
    </row>
    <row r="22" ht="15" customHeight="1" s="67">
      <c r="A22" s="105" t="inlineStr">
        <is>
          <t>6101</t>
        </is>
      </c>
      <c r="B22" s="105">
        <f>COUNTIF(B6:P6,"6101")+COUNTIF(B12:R12,"6101")</f>
        <v/>
      </c>
      <c r="C22" s="105">
        <f>B22*8</f>
        <v/>
      </c>
      <c r="D22" s="105">
        <f>B22*2</f>
        <v/>
      </c>
      <c r="E22" s="121" t="n"/>
      <c r="F22" s="106" t="n"/>
      <c r="G22" s="106" t="n"/>
      <c r="H22" s="106" t="n"/>
      <c r="I22" s="106" t="n"/>
      <c r="J22" s="106" t="n"/>
    </row>
    <row r="23" ht="15" customHeight="1" s="67">
      <c r="A23" s="105" t="inlineStr">
        <is>
          <t>6102</t>
        </is>
      </c>
      <c r="B23" s="105">
        <f>COUNTIF(B6:P6,"6102")+COUNTIF(B12:R12,"6102")</f>
        <v/>
      </c>
      <c r="C23" s="105">
        <f>B23*8</f>
        <v/>
      </c>
      <c r="D23" s="105">
        <f>B23*2</f>
        <v/>
      </c>
      <c r="E23" s="122" t="n"/>
      <c r="F23" s="106" t="n"/>
      <c r="G23" s="106" t="n"/>
      <c r="H23" s="106" t="n"/>
      <c r="I23" s="106" t="n"/>
      <c r="J23" s="106" t="n"/>
    </row>
    <row r="24" ht="15" customHeight="1" s="67">
      <c r="A24" s="105" t="inlineStr">
        <is>
          <t>6111</t>
        </is>
      </c>
      <c r="B24" s="105">
        <f>COUNTIF(B6:P6,"6111")+COUNTIF(B12:R12,"6111")</f>
        <v/>
      </c>
      <c r="C24" s="105">
        <f>B24*8</f>
        <v/>
      </c>
      <c r="D24" s="105">
        <f>B24*2</f>
        <v/>
      </c>
      <c r="E24" s="123" t="n"/>
      <c r="F24" s="106" t="n"/>
      <c r="G24" s="106" t="n"/>
      <c r="H24" s="106" t="n"/>
      <c r="I24" s="106" t="n"/>
      <c r="J24" s="106" t="n"/>
    </row>
    <row r="25" ht="15" customHeight="1" s="67">
      <c r="A25" s="105" t="inlineStr">
        <is>
          <t>6112</t>
        </is>
      </c>
      <c r="B25" s="105">
        <f>COUNTIF(B6:P6,"6112")+COUNTIF(B12:R12,"6112")</f>
        <v/>
      </c>
      <c r="C25" s="105">
        <f>B25*8</f>
        <v/>
      </c>
      <c r="D25" s="105">
        <f>B25*2</f>
        <v/>
      </c>
      <c r="E25" s="124" t="n"/>
      <c r="F25" s="106" t="n"/>
      <c r="G25" s="106" t="n"/>
      <c r="H25" s="106" t="n"/>
      <c r="I25" s="106" t="n"/>
      <c r="J25" s="106" t="n"/>
    </row>
    <row r="26" ht="15" customHeight="1" s="67">
      <c r="A26" s="105" t="inlineStr">
        <is>
          <t>6121</t>
        </is>
      </c>
      <c r="B26" s="105">
        <f>COUNTIF(B6:P6,"6121")+COUNTIF(B12:R12,"6121")</f>
        <v/>
      </c>
      <c r="C26" s="105">
        <f>B26*8</f>
        <v/>
      </c>
      <c r="D26" s="105">
        <f>B26*8</f>
        <v/>
      </c>
      <c r="E26" s="125" t="n"/>
      <c r="F26" s="106" t="n"/>
      <c r="G26" s="106" t="n"/>
      <c r="H26" s="106" t="n"/>
      <c r="I26" s="106" t="n"/>
      <c r="J26" s="106" t="n"/>
    </row>
    <row r="27" ht="15" customHeight="1" s="67">
      <c r="A27" s="105" t="inlineStr">
        <is>
          <t>7101</t>
        </is>
      </c>
      <c r="B27" s="105">
        <f>COUNTIF(B6:P6,"7101")+COUNTIF(B12:R12,"7101")</f>
        <v/>
      </c>
      <c r="C27" s="105">
        <f>B27*8</f>
        <v/>
      </c>
      <c r="D27" s="105">
        <f>B27*2</f>
        <v/>
      </c>
      <c r="E27" s="121" t="n"/>
      <c r="F27" s="106" t="n"/>
      <c r="G27" s="106" t="n"/>
      <c r="H27" s="106" t="n"/>
      <c r="I27" s="106" t="n"/>
      <c r="J27" s="106" t="n"/>
    </row>
    <row r="28" ht="15" customHeight="1" s="67">
      <c r="A28" s="105" t="inlineStr">
        <is>
          <t>7102</t>
        </is>
      </c>
      <c r="B28" s="105">
        <f>COUNTIF(B6:P6,"7102")+COUNTIF(B12:R12,"7102")</f>
        <v/>
      </c>
      <c r="C28" s="105">
        <f>B28*8</f>
        <v/>
      </c>
      <c r="D28" s="105">
        <f>B28*2</f>
        <v/>
      </c>
      <c r="E28" s="122" t="n"/>
      <c r="F28" s="106" t="n"/>
      <c r="G28" s="106" t="n"/>
      <c r="H28" s="106" t="n"/>
      <c r="I28" s="106" t="n"/>
      <c r="J28" s="106" t="n"/>
    </row>
    <row r="29" ht="15" customHeight="1" s="67">
      <c r="A29" s="105" t="inlineStr">
        <is>
          <t>7111</t>
        </is>
      </c>
      <c r="B29" s="105">
        <f>COUNTIF(B6:P6,"7111")+COUNTIF(B12:R12,"7111")</f>
        <v/>
      </c>
      <c r="C29" s="105">
        <f>B29*8</f>
        <v/>
      </c>
      <c r="D29" s="105">
        <f>B29*2</f>
        <v/>
      </c>
      <c r="E29" s="123" t="n"/>
      <c r="F29" s="106" t="n"/>
      <c r="G29" s="106" t="n"/>
      <c r="H29" s="106" t="n"/>
      <c r="I29" s="106" t="n"/>
      <c r="J29" s="106" t="n"/>
    </row>
    <row r="30" ht="15" customHeight="1" s="67">
      <c r="A30" s="105" t="inlineStr">
        <is>
          <t>7112</t>
        </is>
      </c>
      <c r="B30" s="105">
        <f>COUNTIF(B6:P6,"7112")+COUNTIF(B12:R12,"7112")</f>
        <v/>
      </c>
      <c r="C30" s="105">
        <f>B30*8</f>
        <v/>
      </c>
      <c r="D30" s="105">
        <f>B30*2</f>
        <v/>
      </c>
      <c r="E30" s="124" t="n"/>
      <c r="F30" s="106" t="n"/>
      <c r="G30" s="106" t="n"/>
      <c r="H30" s="106" t="n"/>
      <c r="I30" s="106" t="n"/>
      <c r="J30" s="106" t="n"/>
    </row>
    <row r="31" ht="15" customHeight="1" s="67">
      <c r="A31" s="105" t="inlineStr">
        <is>
          <t>7121</t>
        </is>
      </c>
      <c r="B31" s="105">
        <f>COUNTIF(B6:P6,"7121")+COUNTIF(B12:R12,"7121")</f>
        <v/>
      </c>
      <c r="C31" s="105">
        <f>B31*8</f>
        <v/>
      </c>
      <c r="D31" s="105">
        <f>B31*8</f>
        <v/>
      </c>
      <c r="E31" s="125" t="n"/>
      <c r="F31" s="106" t="n"/>
      <c r="G31" s="106" t="n"/>
      <c r="H31" s="106" t="n"/>
      <c r="I31" s="106" t="n"/>
      <c r="J31" s="106" t="n"/>
    </row>
    <row r="32" ht="15" customHeight="1" s="67">
      <c r="A32" s="105" t="inlineStr">
        <is>
          <t>X_AM</t>
        </is>
      </c>
      <c r="B32" s="105">
        <f>COUNTIF(B6:P6,"X_AM")+COUNTIF(B12:R12,"X_AM")</f>
        <v/>
      </c>
      <c r="C32" s="105">
        <f>B32*8</f>
        <v/>
      </c>
      <c r="D32" s="105">
        <f>B32*2</f>
        <v/>
      </c>
      <c r="E32" s="126" t="n"/>
      <c r="F32" s="106" t="n"/>
      <c r="G32" s="106" t="n"/>
      <c r="H32" s="106" t="n"/>
      <c r="I32" s="106" t="n"/>
      <c r="J32" s="106" t="n"/>
    </row>
    <row r="33" ht="15" customHeight="1" s="67">
      <c r="A33" s="105" t="inlineStr">
        <is>
          <t>X_PM</t>
        </is>
      </c>
      <c r="B33" s="105">
        <f>COUNTIF(B6:P6,"X_PM")+COUNTIF(B12:R12,"X_PM")</f>
        <v/>
      </c>
      <c r="C33" s="105">
        <f>B33*8</f>
        <v/>
      </c>
      <c r="D33" s="105">
        <f>B33*2</f>
        <v/>
      </c>
      <c r="E33" s="126" t="n"/>
      <c r="F33" s="106" t="n"/>
      <c r="G33" s="106" t="n"/>
      <c r="H33" s="106" t="n"/>
      <c r="I33" s="106" t="n"/>
      <c r="J33" s="106" t="n"/>
    </row>
    <row r="34" ht="15" customHeight="1" s="67">
      <c r="A34" s="105" t="inlineStr">
        <is>
          <t>X_10</t>
        </is>
      </c>
      <c r="B34" s="105">
        <f>COUNTIF(B6:P6,"X_10")+COUNTIF(B12:R12,"X_10")</f>
        <v/>
      </c>
      <c r="C34" s="105">
        <f>B34*8</f>
        <v/>
      </c>
      <c r="D34" s="105" t="n">
        <v>0</v>
      </c>
      <c r="E34" s="127" t="n"/>
      <c r="F34" s="106" t="n"/>
      <c r="G34" s="106" t="n"/>
      <c r="H34" s="106" t="n"/>
      <c r="I34" s="106" t="n"/>
      <c r="J34" s="106" t="n"/>
    </row>
    <row r="35" ht="15" customHeight="1" s="67">
      <c r="A35" s="105" t="inlineStr">
        <is>
          <t>AG</t>
        </is>
      </c>
      <c r="B35" s="105">
        <f>COUNTIF(B6:P6,"AG")+COUNTIF(B12:R12,"AG")</f>
        <v/>
      </c>
      <c r="C35" s="105">
        <f>B35*8</f>
        <v/>
      </c>
      <c r="D35" s="105" t="n">
        <v>0</v>
      </c>
      <c r="E35" s="128" t="n"/>
      <c r="F35" s="106" t="n"/>
      <c r="G35" s="106" t="n"/>
      <c r="H35" s="106" t="n"/>
      <c r="I35" s="106" t="n"/>
      <c r="J35" s="106" t="n"/>
    </row>
    <row r="36" ht="15" customHeight="1" s="67">
      <c r="A36" s="129" t="inlineStr">
        <is>
          <t>TOTAL</t>
        </is>
      </c>
      <c r="B36" s="129">
        <f>SUM(B17:B35)</f>
        <v/>
      </c>
      <c r="C36" s="129">
        <f>SUM(C17:C35)</f>
        <v/>
      </c>
      <c r="D36" s="129">
        <f>SUM(D17:D35)</f>
        <v/>
      </c>
      <c r="E36" s="129" t="n"/>
      <c r="F36" s="106" t="n"/>
      <c r="G36" s="106" t="n"/>
      <c r="H36" s="106" t="n"/>
      <c r="I36" s="106" t="n"/>
      <c r="J36" s="106" t="n"/>
    </row>
    <row r="37" ht="15" customHeight="1" s="67">
      <c r="A37" s="130" t="n"/>
      <c r="B37" s="130" t="n"/>
      <c r="C37" s="130" t="n"/>
      <c r="D37" s="130" t="n"/>
      <c r="E37" s="130" t="n"/>
      <c r="F37" s="106" t="n"/>
      <c r="G37" s="106" t="n"/>
      <c r="H37" s="106" t="n"/>
      <c r="I37" s="106" t="n"/>
      <c r="J37" s="106" t="n"/>
    </row>
    <row r="38" ht="15" customHeight="1" s="67">
      <c r="A38" s="104" t="inlineStr">
        <is>
          <t>REPOS</t>
        </is>
      </c>
      <c r="B38" s="104" t="inlineStr">
        <is>
          <t>Jours</t>
        </is>
      </c>
      <c r="C38" s="104" t="inlineStr">
        <is>
          <t>H. Totales</t>
        </is>
      </c>
      <c r="D38" s="104" t="inlineStr">
        <is>
          <t>H. Nuit</t>
        </is>
      </c>
      <c r="E38" s="104" t="inlineStr">
        <is>
          <t>Couleur</t>
        </is>
      </c>
      <c r="F38" s="106" t="n"/>
      <c r="G38" s="106" t="n"/>
      <c r="H38" s="106" t="n"/>
      <c r="I38" s="106" t="n"/>
      <c r="J38" s="106" t="n"/>
    </row>
    <row r="39" ht="15" customHeight="1" s="67">
      <c r="A39" s="105" t="inlineStr">
        <is>
          <t>CN</t>
        </is>
      </c>
      <c r="B39" s="105">
        <f>COUNTIF(B6:P6,"CN")+COUNTIF(B12:R12,"CN")</f>
        <v/>
      </c>
      <c r="C39" s="105">
        <f>B39*8</f>
        <v/>
      </c>
      <c r="D39" s="105" t="n">
        <v>0</v>
      </c>
      <c r="E39" s="131" t="n"/>
      <c r="F39" s="106" t="n"/>
      <c r="G39" s="106" t="n"/>
      <c r="H39" s="106" t="n"/>
      <c r="I39" s="106" t="n"/>
      <c r="J39" s="106" t="n"/>
    </row>
    <row r="40" ht="15" customHeight="1" s="67">
      <c r="A40" s="105" t="inlineStr">
        <is>
          <t>JC</t>
        </is>
      </c>
      <c r="B40" s="105">
        <f>COUNTIF(B6:P6,"JC")+COUNTIF(B12:R12,"JC")</f>
        <v/>
      </c>
      <c r="C40" s="105">
        <f>B40*8</f>
        <v/>
      </c>
      <c r="D40" s="105" t="n">
        <v>0</v>
      </c>
      <c r="E40" s="131" t="n"/>
      <c r="F40" s="106" t="n"/>
      <c r="G40" s="106" t="n"/>
      <c r="H40" s="106" t="n"/>
      <c r="I40" s="106" t="n"/>
      <c r="J40" s="106" t="n"/>
    </row>
    <row r="41" ht="15" customHeight="1" s="67">
      <c r="A41" s="105" t="inlineStr">
        <is>
          <t>RH</t>
        </is>
      </c>
      <c r="B41" s="105">
        <f>COUNTIF(B6:P6,"RH")+COUNTIF(B12:R12,"RH")</f>
        <v/>
      </c>
      <c r="C41" s="105" t="n">
        <v>0</v>
      </c>
      <c r="D41" s="105" t="n">
        <v>0</v>
      </c>
      <c r="E41" s="132" t="n"/>
      <c r="F41" s="106" t="n"/>
      <c r="G41" s="106" t="n"/>
      <c r="H41" s="106" t="n"/>
      <c r="I41" s="106" t="n"/>
      <c r="J41" s="106" t="n"/>
    </row>
    <row r="42" ht="15" customHeight="1" s="67">
      <c r="A42" s="105" t="inlineStr">
        <is>
          <t>CH</t>
        </is>
      </c>
      <c r="B42" s="105">
        <f>COUNTIF(B6:P6,"CH")+COUNTIF(B12:R12,"CH")</f>
        <v/>
      </c>
      <c r="C42" s="105" t="n">
        <v>0</v>
      </c>
      <c r="D42" s="105" t="n">
        <v>0</v>
      </c>
      <c r="E42" s="133" t="n"/>
      <c r="F42" s="106" t="n"/>
      <c r="G42" s="106" t="n"/>
      <c r="H42" s="106" t="n"/>
      <c r="I42" s="106" t="n"/>
      <c r="J42" s="106" t="n"/>
    </row>
    <row r="43" ht="15" customHeight="1" s="67">
      <c r="A43" s="105" t="inlineStr">
        <is>
          <t>RR</t>
        </is>
      </c>
      <c r="B43" s="105">
        <f>COUNTIF(B6:P6,"RR")+COUNTIF(B12:R12,"RR")</f>
        <v/>
      </c>
      <c r="C43" s="105">
        <f>B43*8</f>
        <v/>
      </c>
      <c r="D43" s="105" t="n">
        <v>0</v>
      </c>
      <c r="E43" s="134" t="n"/>
      <c r="F43" s="106" t="n"/>
      <c r="G43" s="106" t="n"/>
      <c r="H43" s="106" t="n"/>
      <c r="I43" s="106" t="n"/>
      <c r="J43" s="106" t="n"/>
    </row>
    <row r="44">
      <c r="A44" s="105" t="inlineStr">
        <is>
          <t>CV</t>
        </is>
      </c>
      <c r="B44" s="105">
        <f>COUNTIF(B6:P6,"CV")+COUNTIF(B12:R12,"CV")</f>
        <v/>
      </c>
      <c r="C44" s="105">
        <f>B44*8</f>
        <v/>
      </c>
      <c r="D44" s="105" t="n">
        <v>0</v>
      </c>
      <c r="E44" s="135" t="n"/>
      <c r="F44" s="106" t="n"/>
      <c r="G44" s="106" t="n"/>
      <c r="H44" s="106" t="n"/>
      <c r="I44" s="106" t="n"/>
      <c r="J44" s="106" t="n"/>
    </row>
    <row r="45" ht="15" customHeight="1" s="67">
      <c r="A45" s="105" t="inlineStr">
        <is>
          <t>ZM</t>
        </is>
      </c>
      <c r="B45" s="105">
        <f>COUNTIF(B6:P6,"ZM")+COUNTIF(B12:R12,"ZM")</f>
        <v/>
      </c>
      <c r="C45" s="105">
        <f>B45*8</f>
        <v/>
      </c>
      <c r="D45" s="105" t="n">
        <v>0</v>
      </c>
      <c r="E45" s="136" t="n"/>
      <c r="F45" s="106" t="n"/>
      <c r="G45" s="106" t="n"/>
      <c r="H45" s="106" t="n"/>
      <c r="I45" s="106" t="n"/>
      <c r="J45" s="106" t="n"/>
    </row>
    <row r="46">
      <c r="A46" s="129" t="inlineStr">
        <is>
          <t>TOTAL</t>
        </is>
      </c>
      <c r="B46" s="129">
        <f>SUM(B39:B45)</f>
        <v/>
      </c>
      <c r="C46" s="129">
        <f>SUM(C39:C45)</f>
        <v/>
      </c>
      <c r="D46" s="129">
        <f>SUM(D39:D45)</f>
        <v/>
      </c>
      <c r="E46" s="129" t="n"/>
      <c r="F46" s="106" t="n"/>
      <c r="G46" s="106" t="n"/>
      <c r="H46" s="106" t="n"/>
      <c r="I46" s="106" t="n"/>
      <c r="J46" s="106" t="n"/>
    </row>
    <row r="47" ht="15" customHeight="1" s="67">
      <c r="A47" s="130" t="n"/>
      <c r="B47" s="130" t="n"/>
      <c r="C47" s="130" t="n"/>
      <c r="D47" s="130" t="n"/>
      <c r="E47" s="106" t="n"/>
      <c r="F47" s="106" t="n"/>
      <c r="G47" s="106" t="n"/>
      <c r="H47" s="106" t="n"/>
      <c r="I47" s="106" t="n"/>
      <c r="J47" s="106" t="n"/>
    </row>
    <row r="48" ht="15" customHeight="1" s="67">
      <c r="A48" s="137" t="inlineStr">
        <is>
          <t>Total Heures</t>
        </is>
      </c>
      <c r="B48" s="130" t="n"/>
      <c r="C48" s="137">
        <f>C36+C46</f>
        <v/>
      </c>
      <c r="D48" s="130" t="n"/>
      <c r="E48" s="106" t="n"/>
      <c r="F48" s="106" t="n"/>
      <c r="G48" s="106" t="n"/>
      <c r="H48" s="106" t="n"/>
      <c r="I48" s="106" t="n"/>
      <c r="J48" s="106" t="n"/>
    </row>
    <row r="49" ht="15" customHeight="1" s="67">
      <c r="A49" s="130" t="n"/>
      <c r="B49" s="130" t="n"/>
      <c r="C49" s="130" t="n"/>
      <c r="D49" s="130" t="n"/>
      <c r="E49" s="106" t="n"/>
      <c r="F49" s="106" t="n"/>
      <c r="G49" s="106" t="n"/>
      <c r="H49" s="106" t="n"/>
      <c r="I49" s="106" t="n"/>
      <c r="J49" s="106" t="n"/>
    </row>
    <row r="50" ht="15" customHeight="1" s="67">
      <c r="A50" s="130" t="n"/>
      <c r="B50" s="130" t="n"/>
      <c r="C50" s="130" t="n"/>
      <c r="D50" s="130" t="n"/>
      <c r="E50" s="106" t="n"/>
      <c r="F50" s="106" t="n"/>
      <c r="G50" s="106" t="n"/>
      <c r="H50" s="106" t="n"/>
      <c r="I50" s="106" t="n"/>
      <c r="J50" s="106" t="n"/>
    </row>
    <row r="51" ht="15" customHeight="1" s="67">
      <c r="A51" s="130" t="n"/>
      <c r="B51" s="130" t="n"/>
      <c r="C51" s="130" t="n"/>
      <c r="D51" s="130" t="n"/>
      <c r="E51" s="106" t="n"/>
      <c r="F51" s="106" t="n"/>
      <c r="G51" s="106" t="n"/>
      <c r="H51" s="106" t="n"/>
      <c r="I51" s="106" t="n"/>
      <c r="J51" s="106" t="n"/>
    </row>
    <row r="52">
      <c r="A52" s="138" t="inlineStr">
        <is>
          <t>CONTRÔLES PAR PÉRIODE - OCTOBRE</t>
        </is>
      </c>
      <c r="B52" s="106" t="n"/>
      <c r="C52" s="106" t="n"/>
      <c r="D52" s="106" t="n"/>
      <c r="E52" s="106" t="n"/>
      <c r="F52" s="106" t="n"/>
      <c r="G52" s="106" t="n"/>
      <c r="H52" s="106" t="n"/>
      <c r="I52" s="106" t="n"/>
      <c r="J52" s="106" t="n"/>
    </row>
    <row r="53" ht="15" customHeight="1" s="67">
      <c r="A53" s="130" t="n"/>
      <c r="B53" s="106" t="n"/>
      <c r="C53" s="106" t="n"/>
      <c r="D53" s="106" t="n"/>
      <c r="E53" s="106" t="n"/>
      <c r="F53" s="106" t="n"/>
      <c r="G53" s="106" t="n"/>
      <c r="H53" s="106" t="n"/>
      <c r="I53" s="106" t="n"/>
      <c r="J53" s="106" t="n"/>
    </row>
    <row r="54">
      <c r="A54" s="104" t="inlineStr">
        <is>
          <t>Période</t>
        </is>
      </c>
      <c r="B54" s="104" t="inlineStr">
        <is>
          <t>Heures</t>
        </is>
      </c>
      <c r="C54" s="104" t="inlineStr">
        <is>
          <t>CH</t>
        </is>
      </c>
      <c r="D54" s="104" t="inlineStr">
        <is>
          <t>RH</t>
        </is>
      </c>
      <c r="E54" s="104" t="inlineStr">
        <is>
          <t>CV</t>
        </is>
      </c>
      <c r="F54" s="104" t="inlineStr">
        <is>
          <t>RR</t>
        </is>
      </c>
      <c r="G54" s="104" t="inlineStr">
        <is>
          <t>Férié Trav.</t>
        </is>
      </c>
      <c r="H54" s="104" t="inlineStr">
        <is>
          <t>Statut</t>
        </is>
      </c>
      <c r="I54" s="106" t="n"/>
      <c r="J54" s="106" t="n"/>
    </row>
    <row r="55" ht="15" customHeight="1" s="67">
      <c r="A55" s="105" t="inlineStr">
        <is>
          <t>P10</t>
        </is>
      </c>
      <c r="B55" s="105">
        <f>(COUNTIF('Septembre'!G12:P12,"101") + COUNTIF('Octobre'!B6:P6,"101") + COUNTIF('Octobre'!B12:D12,"101") + COUNTIF('Septembre'!G12:P12,"102") + COUNTIF('Octobre'!B6:P6,"102") + COUNTIF('Octobre'!B12:D12,"102") + COUNTIF('Septembre'!G12:P12,"111") + COUNTIF('Octobre'!B6:P6,"111") + COUNTIF('Octobre'!B12:D12,"111") + COUNTIF('Septembre'!G12:P12,"112") + COUNTIF('Octobre'!B6:P6,"112") + COUNTIF('Octobre'!B12:D12,"112") + COUNTIF('Septembre'!G12:P12,"121") + COUNTIF('Octobre'!B6:P6,"121") + COUNTIF('Octobre'!B12:D12,"121") + COUNTIF('Septembre'!G12:P12,"6101") + COUNTIF('Octobre'!B6:P6,"6101") + COUNTIF('Octobre'!B12:D12,"6101") + COUNTIF('Septembre'!G12:P12,"6102") + COUNTIF('Octobre'!B6:P6,"6102") + COUNTIF('Octobre'!B12:D12,"6102") + COUNTIF('Septembre'!G12:P12,"6111") + COUNTIF('Octobre'!B6:P6,"6111") + COUNTIF('Octobre'!B12:D12,"6111") + COUNTIF('Septembre'!G12:P12,"6112") + COUNTIF('Octobre'!B6:P6,"6112") + COUNTIF('Octobre'!B12:D12,"6112") + COUNTIF('Septembre'!G12:P12,"6121") + COUNTIF('Octobre'!B6:P6,"6121") + COUNTIF('Octobre'!B12:D12,"6121") + COUNTIF('Septembre'!G12:P12,"7101") + COUNTIF('Octobre'!B6:P6,"7101") + COUNTIF('Octobre'!B12:D12,"7101") + COUNTIF('Septembre'!G12:P12,"7102") + COUNTIF('Octobre'!B6:P6,"7102") + COUNTIF('Octobre'!B12:D12,"7102") + COUNTIF('Septembre'!G12:P12,"7111") + COUNTIF('Octobre'!B6:P6,"7111") + COUNTIF('Octobre'!B12:D12,"7111") + COUNTIF('Septembre'!G12:P12,"7112") + COUNTIF('Octobre'!B6:P6,"7112") + COUNTIF('Octobre'!B12:D12,"7112") + COUNTIF('Septembre'!G12:P12,"7121") + COUNTIF('Octobre'!B6:P6,"7121") + COUNTIF('Octobre'!B12:D12,"7121") + COUNTIF('Septembre'!G12:P12,"X_AM") + COUNTIF('Octobre'!B6:P6,"X_AM") + COUNTIF('Octobre'!B12:D12,"X_AM") + COUNTIF('Septembre'!G12:P12,"X_PM") + COUNTIF('Octobre'!B6:P6,"X_PM") + COUNTIF('Octobre'!B12:D12,"X_PM") + COUNTIF('Septembre'!G12:P12,"X_10") + COUNTIF('Octobre'!B6:P6,"X_10") + COUNTIF('Octobre'!B12:D12,"X_10") + COUNTIF('Septembre'!G12:P12,"AG") + COUNTIF('Octobre'!B6:P6,"AG") + COUNTIF('Octobre'!B12:D12,"AG") + COUNTIF('Septembre'!G12:P12,"CN") + COUNTIF('Octobre'!B6:P6,"CN") + COUNTIF('Octobre'!B12:D12,"CN") + COUNTIF('Septembre'!G12:P12,"JC") + COUNTIF('Octobre'!B6:P6,"JC") + COUNTIF('Octobre'!B12:D12,"JC") + COUNTIF('Septembre'!G12:P12,"RR") + COUNTIF('Octobre'!B6:P6,"RR") + COUNTIF('Octobre'!B12:D12,"RR") + COUNTIF('Septembre'!G12:P12,"ZM") + COUNTIF('Octobre'!B6:P6,"ZM") + COUNTIF('Octobre'!B12:D12,"ZM") + COUNTIF('Septembre'!G12:P12,"CV") + COUNTIF('Octobre'!B6:P6,"CV") + COUNTIF('Octobre'!B12:D12,"CV"))*8</f>
        <v/>
      </c>
      <c r="C55" s="105">
        <f>COUNTIF('Septembre'!G12:P12,"CH")+COUNTIF('Octobre'!B6:P6,"CH")+COUNTIF('Octobre'!B12:D12,"CH")</f>
        <v/>
      </c>
      <c r="D55" s="105">
        <f>COUNTIF('Septembre'!G12:P12,"RH")+COUNTIF('Octobre'!B6:P6,"RH")+COUNTIF('Octobre'!B12:D12,"RH")</f>
        <v/>
      </c>
      <c r="E55" s="105">
        <f>COUNTIF('Septembre'!G12:P12,"CV")+COUNTIF('Octobre'!B6:P6,"CV")+COUNTIF('Octobre'!B12:D12,"CV")</f>
        <v/>
      </c>
      <c r="F55" s="105">
        <f>COUNTIF('Septembre'!G12:P12,"RR")+COUNTIF('Octobre'!B6:P6,"RR")+COUNTIF('Octobre'!B12:D12,"RR")</f>
        <v/>
      </c>
      <c r="G55" s="105" t="n">
        <v>0</v>
      </c>
      <c r="H55" s="105">
        <f>IF(B55&gt;160,"⚠ &gt;160h",IF(C55&lt;&gt;4,"⚠ CH≠4",IF(D55&lt;&gt;4,"⚠ RH≠4",IF(E55&lt;&gt;1,"⚠ CV≠1",IF(AND(G55&gt;0,F55=0),"⚠ RR manquant","✓ OK")))))</f>
        <v/>
      </c>
      <c r="I55" s="106" t="n"/>
      <c r="J55" s="106" t="n"/>
    </row>
    <row r="56" ht="15" customHeight="1" s="67">
      <c r="A56" s="105" t="inlineStr">
        <is>
          <t>P11</t>
        </is>
      </c>
      <c r="B56" s="105">
        <f>(COUNTIF('Octobre'!E12:Q12,"101") + COUNTIF('Novembre'!B6:P6,"101") + COUNTIF('Octobre'!E12:Q12,"102") + COUNTIF('Novembre'!B6:P6,"102") + COUNTIF('Octobre'!E12:Q12,"111") + COUNTIF('Novembre'!B6:P6,"111") + COUNTIF('Octobre'!E12:Q12,"112") + COUNTIF('Novembre'!B6:P6,"112") + COUNTIF('Octobre'!E12:Q12,"121") + COUNTIF('Novembre'!B6:P6,"121") + COUNTIF('Octobre'!E12:Q12,"6101") + COUNTIF('Novembre'!B6:P6,"6101") + COUNTIF('Octobre'!E12:Q12,"6102") + COUNTIF('Novembre'!B6:P6,"6102") + COUNTIF('Octobre'!E12:Q12,"6111") + COUNTIF('Novembre'!B6:P6,"6111") + COUNTIF('Octobre'!E12:Q12,"6112") + COUNTIF('Novembre'!B6:P6,"6112") + COUNTIF('Octobre'!E12:Q12,"6121") + COUNTIF('Novembre'!B6:P6,"6121") + COUNTIF('Octobre'!E12:Q12,"7101") + COUNTIF('Novembre'!B6:P6,"7101") + COUNTIF('Octobre'!E12:Q12,"7102") + COUNTIF('Novembre'!B6:P6,"7102") + COUNTIF('Octobre'!E12:Q12,"7111") + COUNTIF('Novembre'!B6:P6,"7111") + COUNTIF('Octobre'!E12:Q12,"7112") + COUNTIF('Novembre'!B6:P6,"7112") + COUNTIF('Octobre'!E12:Q12,"7121") + COUNTIF('Novembre'!B6:P6,"7121") + COUNTIF('Octobre'!E12:Q12,"X_AM") + COUNTIF('Novembre'!B6:P6,"X_AM") + COUNTIF('Octobre'!E12:Q12,"X_PM") + COUNTIF('Novembre'!B6:P6,"X_PM") + COUNTIF('Octobre'!E12:Q12,"X_10") + COUNTIF('Novembre'!B6:P6,"X_10") + COUNTIF('Octobre'!E12:Q12,"AG") + COUNTIF('Novembre'!B6:P6,"AG") + COUNTIF('Octobre'!E12:Q12,"CN") + COUNTIF('Novembre'!B6:P6,"CN") + COUNTIF('Octobre'!E12:Q12,"JC") + COUNTIF('Novembre'!B6:P6,"JC") + COUNTIF('Octobre'!E12:Q12,"RR") + COUNTIF('Novembre'!B6:P6,"RR") + COUNTIF('Octobre'!E12:Q12,"ZM") + COUNTIF('Novembre'!B6:P6,"ZM") + COUNTIF('Octobre'!E12:Q12,"CV") + COUNTIF('Novembre'!B6:P6,"CV"))*8</f>
        <v/>
      </c>
      <c r="C56" s="105">
        <f>COUNTIF('Octobre'!E12:Q12,"CH")+COUNTIF('Novembre'!B6:P6,"CH")</f>
        <v/>
      </c>
      <c r="D56" s="105">
        <f>COUNTIF('Octobre'!E12:Q12,"RH")+COUNTIF('Novembre'!B6:P6,"RH")</f>
        <v/>
      </c>
      <c r="E56" s="105">
        <f>COUNTIF('Octobre'!E12:Q12,"CV")+COUNTIF('Novembre'!B6:P6,"CV")</f>
        <v/>
      </c>
      <c r="F56" s="105">
        <f>COUNTIF('Octobre'!E12:Q12,"RR")+COUNTIF('Novembre'!B6:P6,"RR")</f>
        <v/>
      </c>
      <c r="G56" s="105">
        <f>SUM(COUNTIF('Novembre'!B6,{7101,7102,7111,7112,7121}))+SUM(COUNTIF('Novembre'!L6,{7101,7102,7111,7112,7121}))</f>
        <v/>
      </c>
      <c r="H56" s="105">
        <f>IF(B56&gt;160,"⚠ &gt;160h",IF(C56&lt;&gt;4,"⚠ CH≠4",IF(D56&lt;&gt;4,"⚠ RH≠4",IF(E56&lt;&gt;1,"⚠ CV≠1",IF(AND(G56&gt;0,F56=0),"⚠ RR manquant","✓ OK")))))</f>
        <v/>
      </c>
      <c r="I56" s="106" t="n"/>
      <c r="J56" s="106" t="n"/>
    </row>
    <row r="57" ht="15" customHeight="1" s="67">
      <c r="A57" s="130" t="n"/>
      <c r="B57" s="130" t="n"/>
      <c r="C57" s="130" t="n"/>
      <c r="D57" s="130" t="n"/>
      <c r="E57" s="106" t="n"/>
      <c r="F57" s="106" t="n"/>
      <c r="G57" s="106" t="n"/>
      <c r="H57" s="106" t="n"/>
      <c r="I57" s="106" t="n"/>
      <c r="J57" s="106" t="n"/>
    </row>
    <row r="58">
      <c r="A58" s="106" t="n"/>
      <c r="B58" s="106" t="n"/>
      <c r="C58" s="106" t="n"/>
      <c r="D58" s="106" t="n"/>
      <c r="E58" s="106" t="n"/>
      <c r="F58" s="106" t="n"/>
      <c r="G58" s="106" t="n"/>
      <c r="H58" s="106" t="n"/>
      <c r="I58" s="106" t="n"/>
      <c r="J58" s="106" t="n"/>
    </row>
    <row r="59">
      <c r="A59" s="106" t="n"/>
      <c r="B59" s="106" t="n"/>
      <c r="C59" s="106" t="n"/>
      <c r="D59" s="106" t="n"/>
      <c r="E59" s="106" t="n"/>
      <c r="F59" s="106" t="n"/>
      <c r="G59" s="106" t="n"/>
      <c r="H59" s="106" t="n"/>
      <c r="I59" s="106" t="n"/>
      <c r="J59" s="106" t="n"/>
    </row>
    <row r="60">
      <c r="A60" s="106" t="n"/>
      <c r="B60" s="106" t="n"/>
      <c r="C60" s="106" t="n"/>
      <c r="D60" s="106" t="n"/>
      <c r="E60" s="106" t="n"/>
      <c r="F60" s="106" t="n"/>
      <c r="G60" s="106" t="n"/>
      <c r="H60" s="106" t="n"/>
      <c r="I60" s="106" t="n"/>
      <c r="J60" s="106" t="n"/>
    </row>
    <row r="61">
      <c r="A61" s="106" t="n"/>
      <c r="B61" s="106" t="n"/>
      <c r="C61" s="106" t="n"/>
      <c r="D61" s="106" t="n"/>
      <c r="E61" s="106" t="n"/>
      <c r="F61" s="106" t="n"/>
      <c r="G61" s="106" t="n"/>
      <c r="H61" s="106" t="n"/>
      <c r="I61" s="106" t="n"/>
      <c r="J61" s="106" t="n"/>
    </row>
    <row r="62">
      <c r="A62" s="106" t="n"/>
      <c r="B62" s="106" t="n"/>
      <c r="C62" s="106" t="n"/>
      <c r="D62" s="106" t="n"/>
      <c r="E62" s="106" t="n"/>
      <c r="F62" s="106" t="n"/>
      <c r="G62" s="106" t="n"/>
      <c r="H62" s="106" t="n"/>
      <c r="I62" s="106" t="n"/>
      <c r="J62" s="106" t="n"/>
    </row>
    <row r="63">
      <c r="A63" s="106" t="n"/>
      <c r="B63" s="106" t="n"/>
      <c r="C63" s="106" t="n"/>
      <c r="D63" s="106" t="n"/>
      <c r="E63" s="106" t="n"/>
      <c r="F63" s="106" t="n"/>
      <c r="G63" s="106" t="n"/>
      <c r="H63" s="106" t="n"/>
      <c r="I63" s="106" t="n"/>
      <c r="J63" s="106" t="n"/>
    </row>
    <row r="64">
      <c r="A64" s="106" t="n"/>
      <c r="B64" s="106" t="n"/>
      <c r="C64" s="106" t="n"/>
      <c r="D64" s="106" t="n"/>
      <c r="E64" s="106" t="n"/>
      <c r="F64" s="106" t="n"/>
      <c r="G64" s="106" t="n"/>
      <c r="H64" s="106" t="n"/>
      <c r="I64" s="106" t="n"/>
      <c r="J64" s="106" t="n"/>
    </row>
    <row r="65">
      <c r="A65" s="106" t="n"/>
      <c r="B65" s="106" t="n"/>
      <c r="C65" s="106" t="n"/>
      <c r="D65" s="106" t="n"/>
      <c r="E65" s="106" t="n"/>
      <c r="F65" s="106" t="n"/>
      <c r="G65" s="106" t="n"/>
      <c r="H65" s="106" t="n"/>
      <c r="I65" s="106" t="n"/>
      <c r="J65" s="106" t="n"/>
    </row>
    <row r="66">
      <c r="A66" s="106" t="n"/>
      <c r="B66" s="106" t="n"/>
      <c r="C66" s="106" t="n"/>
      <c r="D66" s="106" t="n"/>
      <c r="E66" s="106" t="n"/>
      <c r="F66" s="106" t="n"/>
      <c r="G66" s="106" t="n"/>
      <c r="H66" s="106" t="n"/>
      <c r="I66" s="106" t="n"/>
      <c r="J66" s="106" t="n"/>
    </row>
    <row r="67">
      <c r="A67" s="106" t="n"/>
      <c r="B67" s="106" t="n"/>
      <c r="C67" s="106" t="n"/>
      <c r="D67" s="106" t="n"/>
      <c r="E67" s="106" t="n"/>
      <c r="F67" s="106" t="n"/>
      <c r="G67" s="106" t="n"/>
      <c r="H67" s="106" t="n"/>
      <c r="I67" s="106" t="n"/>
      <c r="J67" s="106" t="n"/>
    </row>
    <row r="68">
      <c r="A68" s="106" t="n"/>
      <c r="B68" s="106" t="n"/>
      <c r="C68" s="106" t="n"/>
      <c r="D68" s="106" t="n"/>
      <c r="E68" s="106" t="n"/>
      <c r="F68" s="106" t="n"/>
      <c r="G68" s="106" t="n"/>
      <c r="H68" s="106" t="n"/>
      <c r="I68" s="106" t="n"/>
      <c r="J68" s="106" t="n"/>
    </row>
    <row r="69">
      <c r="A69" s="106" t="n"/>
      <c r="B69" s="106" t="n"/>
      <c r="C69" s="106" t="n"/>
      <c r="D69" s="106" t="n"/>
      <c r="E69" s="106" t="n"/>
      <c r="F69" s="106" t="n"/>
      <c r="G69" s="106" t="n"/>
      <c r="H69" s="106" t="n"/>
      <c r="I69" s="106" t="n"/>
      <c r="J69" s="106" t="n"/>
    </row>
    <row r="70">
      <c r="A70" s="106" t="n"/>
      <c r="B70" s="106" t="n"/>
      <c r="C70" s="106" t="n"/>
      <c r="D70" s="106" t="n"/>
      <c r="E70" s="106" t="n"/>
      <c r="F70" s="106" t="n"/>
      <c r="G70" s="106" t="n"/>
      <c r="H70" s="106" t="n"/>
      <c r="I70" s="106" t="n"/>
      <c r="J70" s="106" t="n"/>
    </row>
    <row r="71">
      <c r="A71" s="106" t="n"/>
      <c r="B71" s="106" t="n"/>
      <c r="C71" s="106" t="n"/>
      <c r="D71" s="106" t="n"/>
      <c r="E71" s="106" t="n"/>
      <c r="F71" s="106" t="n"/>
      <c r="G71" s="106" t="n"/>
      <c r="H71" s="106" t="n"/>
      <c r="I71" s="106" t="n"/>
      <c r="J71" s="106" t="n"/>
    </row>
    <row r="72">
      <c r="A72" s="106" t="n"/>
      <c r="B72" s="106" t="n"/>
      <c r="C72" s="106" t="n"/>
      <c r="D72" s="106" t="n"/>
      <c r="E72" s="106" t="n"/>
      <c r="F72" s="106" t="n"/>
      <c r="G72" s="106" t="n"/>
      <c r="H72" s="106" t="n"/>
      <c r="I72" s="106" t="n"/>
      <c r="J72" s="106" t="n"/>
    </row>
    <row r="73">
      <c r="A73" s="106" t="n"/>
      <c r="B73" s="106" t="n"/>
      <c r="C73" s="106" t="n"/>
      <c r="D73" s="106" t="n"/>
      <c r="E73" s="106" t="n"/>
      <c r="F73" s="106" t="n"/>
      <c r="G73" s="106" t="n"/>
      <c r="H73" s="106" t="n"/>
      <c r="I73" s="106" t="n"/>
      <c r="J73" s="106" t="n"/>
    </row>
    <row r="74">
      <c r="A74" s="106" t="n"/>
      <c r="B74" s="106" t="n"/>
      <c r="C74" s="106" t="n"/>
      <c r="D74" s="106" t="n"/>
      <c r="E74" s="106" t="n"/>
      <c r="F74" s="106" t="n"/>
      <c r="G74" s="106" t="n"/>
      <c r="H74" s="106" t="n"/>
      <c r="I74" s="106" t="n"/>
      <c r="J74" s="106" t="n"/>
    </row>
    <row r="75">
      <c r="A75" s="106" t="n"/>
      <c r="B75" s="106" t="n"/>
      <c r="C75" s="106" t="n"/>
      <c r="D75" s="106" t="n"/>
      <c r="E75" s="106" t="n"/>
      <c r="F75" s="106" t="n"/>
      <c r="G75" s="106" t="n"/>
      <c r="H75" s="106" t="n"/>
      <c r="I75" s="106" t="n"/>
      <c r="J75" s="106" t="n"/>
    </row>
    <row r="76">
      <c r="A76" s="106" t="n"/>
      <c r="B76" s="106" t="n"/>
      <c r="C76" s="106" t="n"/>
      <c r="D76" s="106" t="n"/>
      <c r="E76" s="106" t="n"/>
      <c r="F76" s="106" t="n"/>
      <c r="G76" s="106" t="n"/>
      <c r="H76" s="106" t="n"/>
      <c r="I76" s="106" t="n"/>
      <c r="J76" s="106" t="n"/>
    </row>
    <row r="77">
      <c r="A77" s="106" t="n"/>
      <c r="B77" s="106" t="n"/>
      <c r="C77" s="106" t="n"/>
      <c r="D77" s="106" t="n"/>
      <c r="E77" s="106" t="n"/>
      <c r="F77" s="106" t="n"/>
      <c r="G77" s="106" t="n"/>
      <c r="H77" s="106" t="n"/>
      <c r="I77" s="106" t="n"/>
      <c r="J77" s="106" t="n"/>
    </row>
    <row r="78">
      <c r="A78" s="106" t="n"/>
      <c r="B78" s="106" t="n"/>
      <c r="C78" s="106" t="n"/>
      <c r="D78" s="106" t="n"/>
      <c r="E78" s="106" t="n"/>
      <c r="F78" s="106" t="n"/>
      <c r="G78" s="106" t="n"/>
      <c r="H78" s="106" t="n"/>
      <c r="I78" s="106" t="n"/>
      <c r="J78" s="106" t="n"/>
    </row>
    <row r="79">
      <c r="A79" s="106" t="n"/>
      <c r="B79" s="106" t="n"/>
      <c r="C79" s="106" t="n"/>
      <c r="D79" s="106" t="n"/>
      <c r="E79" s="106" t="n"/>
      <c r="F79" s="106" t="n"/>
      <c r="G79" s="106" t="n"/>
      <c r="H79" s="106" t="n"/>
      <c r="I79" s="106" t="n"/>
      <c r="J79" s="106" t="n"/>
    </row>
    <row r="80">
      <c r="A80" s="106" t="n"/>
      <c r="B80" s="106" t="n"/>
      <c r="C80" s="106" t="n"/>
      <c r="D80" s="106" t="n"/>
      <c r="E80" s="106" t="n"/>
      <c r="F80" s="106" t="n"/>
      <c r="G80" s="106" t="n"/>
      <c r="H80" s="106" t="n"/>
      <c r="I80" s="106" t="n"/>
      <c r="J80" s="106" t="n"/>
    </row>
    <row r="81">
      <c r="A81" s="106" t="n"/>
      <c r="B81" s="106" t="n"/>
      <c r="C81" s="106" t="n"/>
      <c r="D81" s="106" t="n"/>
      <c r="E81" s="106" t="n"/>
      <c r="F81" s="106" t="n"/>
      <c r="G81" s="106" t="n"/>
      <c r="H81" s="106" t="n"/>
      <c r="I81" s="106" t="n"/>
      <c r="J81" s="106" t="n"/>
    </row>
    <row r="82">
      <c r="A82" s="106" t="n"/>
      <c r="B82" s="106" t="n"/>
      <c r="C82" s="106" t="n"/>
      <c r="D82" s="106" t="n"/>
      <c r="E82" s="106" t="n"/>
      <c r="F82" s="106" t="n"/>
      <c r="G82" s="106" t="n"/>
      <c r="H82" s="106" t="n"/>
      <c r="I82" s="106" t="n"/>
      <c r="J82" s="106" t="n"/>
    </row>
    <row r="83">
      <c r="A83" s="106" t="n"/>
      <c r="B83" s="106" t="n"/>
      <c r="C83" s="106" t="n"/>
      <c r="D83" s="106" t="n"/>
      <c r="E83" s="106" t="n"/>
      <c r="F83" s="106" t="n"/>
      <c r="G83" s="106" t="n"/>
      <c r="H83" s="106" t="n"/>
      <c r="I83" s="106" t="n"/>
      <c r="J83" s="106" t="n"/>
    </row>
    <row r="84">
      <c r="A84" s="106" t="n"/>
      <c r="B84" s="106" t="n"/>
      <c r="C84" s="106" t="n"/>
      <c r="D84" s="106" t="n"/>
      <c r="E84" s="106" t="n"/>
      <c r="F84" s="106" t="n"/>
      <c r="G84" s="106" t="n"/>
      <c r="H84" s="106" t="n"/>
      <c r="I84" s="106" t="n"/>
      <c r="J84" s="106" t="n"/>
    </row>
    <row r="85">
      <c r="A85" s="106" t="n"/>
      <c r="B85" s="106" t="n"/>
      <c r="C85" s="106" t="n"/>
      <c r="D85" s="106" t="n"/>
      <c r="E85" s="106" t="n"/>
      <c r="F85" s="106" t="n"/>
      <c r="G85" s="106" t="n"/>
      <c r="H85" s="106" t="n"/>
      <c r="I85" s="106" t="n"/>
      <c r="J85" s="106" t="n"/>
    </row>
    <row r="86">
      <c r="A86" s="106" t="n"/>
      <c r="B86" s="106" t="n"/>
      <c r="C86" s="106" t="n"/>
      <c r="D86" s="106" t="n"/>
      <c r="E86" s="106" t="n"/>
      <c r="F86" s="106" t="n"/>
      <c r="G86" s="106" t="n"/>
      <c r="H86" s="106" t="n"/>
      <c r="I86" s="106" t="n"/>
      <c r="J86" s="106" t="n"/>
    </row>
    <row r="87">
      <c r="A87" s="106" t="n"/>
      <c r="B87" s="106" t="n"/>
      <c r="C87" s="106" t="n"/>
      <c r="D87" s="106" t="n"/>
      <c r="E87" s="106" t="n"/>
      <c r="F87" s="106" t="n"/>
      <c r="G87" s="106" t="n"/>
      <c r="H87" s="106" t="n"/>
      <c r="I87" s="106" t="n"/>
      <c r="J87" s="106" t="n"/>
    </row>
    <row r="88">
      <c r="A88" s="106" t="n"/>
      <c r="B88" s="106" t="n"/>
      <c r="C88" s="106" t="n"/>
      <c r="D88" s="106" t="n"/>
      <c r="E88" s="106" t="n"/>
      <c r="F88" s="106" t="n"/>
      <c r="G88" s="106" t="n"/>
      <c r="H88" s="106" t="n"/>
      <c r="I88" s="106" t="n"/>
      <c r="J88" s="106" t="n"/>
    </row>
    <row r="89">
      <c r="A89" s="106" t="n"/>
      <c r="B89" s="106" t="n"/>
      <c r="C89" s="106" t="n"/>
      <c r="D89" s="106" t="n"/>
      <c r="E89" s="106" t="n"/>
      <c r="F89" s="106" t="n"/>
      <c r="G89" s="106" t="n"/>
      <c r="H89" s="106" t="n"/>
      <c r="I89" s="106" t="n"/>
      <c r="J89" s="106" t="n"/>
    </row>
    <row r="90">
      <c r="A90" s="106" t="n"/>
      <c r="B90" s="106" t="n"/>
      <c r="C90" s="106" t="n"/>
      <c r="D90" s="106" t="n"/>
      <c r="E90" s="106" t="n"/>
      <c r="F90" s="106" t="n"/>
      <c r="G90" s="106" t="n"/>
      <c r="H90" s="106" t="n"/>
      <c r="I90" s="106" t="n"/>
      <c r="J90" s="106" t="n"/>
    </row>
    <row r="91">
      <c r="A91" s="106" t="n"/>
      <c r="B91" s="106" t="n"/>
      <c r="C91" s="106" t="n"/>
      <c r="D91" s="106" t="n"/>
      <c r="E91" s="106" t="n"/>
      <c r="F91" s="106" t="n"/>
      <c r="G91" s="106" t="n"/>
      <c r="H91" s="106" t="n"/>
      <c r="I91" s="106" t="n"/>
      <c r="J91" s="106" t="n"/>
    </row>
    <row r="92">
      <c r="A92" s="106" t="n"/>
      <c r="B92" s="106" t="n"/>
      <c r="C92" s="106" t="n"/>
      <c r="D92" s="106" t="n"/>
      <c r="E92" s="106" t="n"/>
      <c r="F92" s="106" t="n"/>
      <c r="G92" s="106" t="n"/>
      <c r="H92" s="106" t="n"/>
      <c r="I92" s="106" t="n"/>
      <c r="J92" s="106" t="n"/>
    </row>
    <row r="93">
      <c r="A93" s="106" t="n"/>
      <c r="B93" s="106" t="n"/>
      <c r="C93" s="106" t="n"/>
      <c r="D93" s="106" t="n"/>
      <c r="E93" s="106" t="n"/>
      <c r="F93" s="106" t="n"/>
      <c r="G93" s="106" t="n"/>
      <c r="H93" s="106" t="n"/>
      <c r="I93" s="106" t="n"/>
      <c r="J93" s="106" t="n"/>
    </row>
    <row r="94">
      <c r="A94" s="106" t="n"/>
      <c r="B94" s="106" t="n"/>
      <c r="C94" s="106" t="n"/>
      <c r="D94" s="106" t="n"/>
      <c r="E94" s="106" t="n"/>
      <c r="F94" s="106" t="n"/>
      <c r="G94" s="106" t="n"/>
      <c r="H94" s="106" t="n"/>
      <c r="I94" s="106" t="n"/>
      <c r="J94" s="106" t="n"/>
    </row>
    <row r="95">
      <c r="A95" s="106" t="n"/>
      <c r="B95" s="106" t="n"/>
      <c r="C95" s="106" t="n"/>
      <c r="D95" s="106" t="n"/>
      <c r="E95" s="106" t="n"/>
      <c r="F95" s="106" t="n"/>
      <c r="G95" s="106" t="n"/>
      <c r="H95" s="106" t="n"/>
      <c r="I95" s="106" t="n"/>
      <c r="J95" s="106" t="n"/>
    </row>
    <row r="96">
      <c r="A96" s="106" t="n"/>
      <c r="B96" s="106" t="n"/>
      <c r="C96" s="106" t="n"/>
      <c r="D96" s="106" t="n"/>
      <c r="E96" s="106" t="n"/>
      <c r="F96" s="106" t="n"/>
      <c r="G96" s="106" t="n"/>
      <c r="H96" s="106" t="n"/>
      <c r="I96" s="106" t="n"/>
      <c r="J96" s="106" t="n"/>
    </row>
    <row r="97">
      <c r="A97" s="106" t="n"/>
      <c r="B97" s="106" t="n"/>
      <c r="C97" s="106" t="n"/>
      <c r="D97" s="106" t="n"/>
      <c r="E97" s="106" t="n"/>
      <c r="F97" s="106" t="n"/>
      <c r="G97" s="106" t="n"/>
      <c r="H97" s="106" t="n"/>
      <c r="I97" s="106" t="n"/>
      <c r="J97" s="106" t="n"/>
    </row>
    <row r="98">
      <c r="A98" s="106" t="n"/>
      <c r="B98" s="106" t="n"/>
      <c r="C98" s="106" t="n"/>
      <c r="D98" s="106" t="n"/>
      <c r="E98" s="106" t="n"/>
      <c r="F98" s="106" t="n"/>
      <c r="G98" s="106" t="n"/>
      <c r="H98" s="106" t="n"/>
      <c r="I98" s="106" t="n"/>
      <c r="J98" s="106" t="n"/>
    </row>
    <row r="99">
      <c r="A99" s="106" t="n"/>
      <c r="B99" s="106" t="n"/>
      <c r="C99" s="106" t="n"/>
      <c r="D99" s="106" t="n"/>
      <c r="E99" s="106" t="n"/>
      <c r="F99" s="106" t="n"/>
      <c r="G99" s="106" t="n"/>
      <c r="H99" s="106" t="n"/>
      <c r="I99" s="106" t="n"/>
      <c r="J99" s="106" t="n"/>
    </row>
    <row r="100">
      <c r="A100" s="106" t="n"/>
      <c r="B100" s="106" t="n"/>
      <c r="C100" s="106" t="n"/>
      <c r="D100" s="106" t="n"/>
      <c r="E100" s="106" t="n"/>
      <c r="F100" s="106" t="n"/>
      <c r="G100" s="106" t="n"/>
      <c r="H100" s="106" t="n"/>
      <c r="I100" s="106" t="n"/>
      <c r="J100" s="106" t="n"/>
    </row>
  </sheetData>
  <mergeCells count="1">
    <mergeCell ref="A1:P1"/>
  </mergeCells>
  <conditionalFormatting sqref="B6:P6 B12:Q12">
    <cfRule type="cellIs" rank="0" priority="2" equalAverage="0" operator="equal" aboveAverage="0" dxfId="0" text="" percent="0" bottom="0">
      <formula>101</formula>
    </cfRule>
    <cfRule type="cellIs" rank="0" priority="3" equalAverage="0" operator="equal" aboveAverage="0" dxfId="1" text="" percent="0" bottom="0">
      <formula>102</formula>
    </cfRule>
    <cfRule type="cellIs" rank="0" priority="4" equalAverage="0" operator="equal" aboveAverage="0" dxfId="2" text="" percent="0" bottom="0">
      <formula>111</formula>
    </cfRule>
    <cfRule type="cellIs" rank="0" priority="5" equalAverage="0" operator="equal" aboveAverage="0" dxfId="3" text="" percent="0" bottom="0">
      <formula>112</formula>
    </cfRule>
    <cfRule type="cellIs" rank="0" priority="6" equalAverage="0" operator="equal" aboveAverage="0" dxfId="4" text="" percent="0" bottom="0">
      <formula>121</formula>
    </cfRule>
    <cfRule type="cellIs" rank="0" priority="7" equalAverage="0" operator="equal" aboveAverage="0" dxfId="0" text="" percent="0" bottom="0">
      <formula>6101</formula>
    </cfRule>
    <cfRule type="cellIs" rank="0" priority="8" equalAverage="0" operator="equal" aboveAverage="0" dxfId="1" text="" percent="0" bottom="0">
      <formula>6102</formula>
    </cfRule>
    <cfRule type="cellIs" rank="0" priority="9" equalAverage="0" operator="equal" aboveAverage="0" dxfId="2" text="" percent="0" bottom="0">
      <formula>6111</formula>
    </cfRule>
    <cfRule type="cellIs" rank="0" priority="10" equalAverage="0" operator="equal" aboveAverage="0" dxfId="3" text="" percent="0" bottom="0">
      <formula>6112</formula>
    </cfRule>
    <cfRule type="cellIs" rank="0" priority="11" equalAverage="0" operator="equal" aboveAverage="0" dxfId="4" text="" percent="0" bottom="0">
      <formula>6121</formula>
    </cfRule>
    <cfRule type="cellIs" rank="0" priority="12" equalAverage="0" operator="equal" aboveAverage="0" dxfId="0" text="" percent="0" bottom="0">
      <formula>7101</formula>
    </cfRule>
    <cfRule type="cellIs" rank="0" priority="13" equalAverage="0" operator="equal" aboveAverage="0" dxfId="1" text="" percent="0" bottom="0">
      <formula>7102</formula>
    </cfRule>
    <cfRule type="cellIs" rank="0" priority="14" equalAverage="0" operator="equal" aboveAverage="0" dxfId="2" text="" percent="0" bottom="0">
      <formula>7111</formula>
    </cfRule>
    <cfRule type="cellIs" rank="0" priority="15" equalAverage="0" operator="equal" aboveAverage="0" dxfId="3" text="" percent="0" bottom="0">
      <formula>7112</formula>
    </cfRule>
    <cfRule type="cellIs" rank="0" priority="16" equalAverage="0" operator="equal" aboveAverage="0" dxfId="4" text="" percent="0" bottom="0">
      <formula>7121</formula>
    </cfRule>
    <cfRule type="cellIs" rank="0" priority="17" equalAverage="0" operator="equal" aboveAverage="0" dxfId="5" text="" percent="0" bottom="0">
      <formula>"X_AM"</formula>
    </cfRule>
    <cfRule type="cellIs" rank="0" priority="18" equalAverage="0" operator="equal" aboveAverage="0" dxfId="5" text="" percent="0" bottom="0">
      <formula>"X_PM"</formula>
    </cfRule>
    <cfRule type="cellIs" rank="0" priority="19" equalAverage="0" operator="equal" aboveAverage="0" dxfId="6" text="" percent="0" bottom="0">
      <formula>"X_10"</formula>
    </cfRule>
    <cfRule type="cellIs" rank="0" priority="20" equalAverage="0" operator="equal" aboveAverage="0" dxfId="7" text="" percent="0" bottom="0">
      <formula>"CN"</formula>
    </cfRule>
    <cfRule type="cellIs" rank="0" priority="21" equalAverage="0" operator="equal" aboveAverage="0" dxfId="7" text="" percent="0" bottom="0">
      <formula>"JC"</formula>
    </cfRule>
    <cfRule type="cellIs" rank="0" priority="22" equalAverage="0" operator="equal" aboveAverage="0" dxfId="8" text="" percent="0" bottom="0">
      <formula>"RH"</formula>
    </cfRule>
    <cfRule type="cellIs" rank="0" priority="23" equalAverage="0" operator="equal" aboveAverage="0" dxfId="9" text="" percent="0" bottom="0">
      <formula>"CH"</formula>
    </cfRule>
    <cfRule type="cellIs" rank="0" priority="24" equalAverage="0" operator="equal" aboveAverage="0" dxfId="10" text="" percent="0" bottom="0">
      <formula>"RR"</formula>
    </cfRule>
    <cfRule type="cellIs" rank="0" priority="25" equalAverage="0" operator="equal" aboveAverage="0" dxfId="11" text="" percent="0" bottom="0">
      <formula>"ZM"</formula>
    </cfRule>
  </conditionalFormatting>
  <conditionalFormatting sqref="B56 B57">
    <cfRule type="cellIs" rank="0" priority="26" equalAverage="0" operator="greaterThan" aboveAverage="0" dxfId="12" text="" percent="0" bottom="0">
      <formula>160</formula>
    </cfRule>
  </conditionalFormatting>
  <conditionalFormatting sqref="B6:Q6">
    <cfRule type="cellIs" priority="26" operator="equal" dxfId="13">
      <formula>"CV"</formula>
    </cfRule>
    <cfRule type="cellIs" priority="27" operator="equal" dxfId="14">
      <formula>"AG"</formula>
    </cfRule>
  </conditionalFormatting>
  <conditionalFormatting sqref="B12:R12">
    <cfRule type="cellIs" priority="28" operator="equal" dxfId="13">
      <formula>"CV"</formula>
    </cfRule>
    <cfRule type="cellIs" priority="29" operator="equal" dxfId="14">
      <formula>"AG"</formula>
    </cfRule>
  </conditionalFormatting>
  <conditionalFormatting sqref="B55">
    <cfRule type="cellIs" priority="30" operator="greaterThan" dxfId="15">
      <formula>160</formula>
    </cfRule>
  </conditionalFormatting>
  <conditionalFormatting sqref="C55">
    <cfRule type="cellIs" priority="31" operator="notEqual" dxfId="16">
      <formula>4</formula>
    </cfRule>
  </conditionalFormatting>
  <conditionalFormatting sqref="D55">
    <cfRule type="cellIs" priority="32" operator="notEqual" dxfId="16">
      <formula>4</formula>
    </cfRule>
  </conditionalFormatting>
  <conditionalFormatting sqref="E55">
    <cfRule type="cellIs" priority="33" operator="notEqual" dxfId="16">
      <formula>1</formula>
    </cfRule>
  </conditionalFormatting>
  <conditionalFormatting sqref="H55">
    <cfRule type="cellIs" priority="34" operator="equal" dxfId="17">
      <formula>"✓ OK"</formula>
    </cfRule>
    <cfRule type="cellIs" priority="35" operator="notEqual" dxfId="15">
      <formula>"✓ OK"</formula>
    </cfRule>
  </conditionalFormatting>
  <conditionalFormatting sqref="B56">
    <cfRule type="cellIs" priority="36" operator="greaterThan" dxfId="15">
      <formula>160</formula>
    </cfRule>
  </conditionalFormatting>
  <conditionalFormatting sqref="C56">
    <cfRule type="cellIs" priority="37" operator="notEqual" dxfId="16">
      <formula>4</formula>
    </cfRule>
  </conditionalFormatting>
  <conditionalFormatting sqref="D56">
    <cfRule type="cellIs" priority="38" operator="notEqual" dxfId="16">
      <formula>4</formula>
    </cfRule>
  </conditionalFormatting>
  <conditionalFormatting sqref="E56">
    <cfRule type="cellIs" priority="39" operator="notEqual" dxfId="16">
      <formula>1</formula>
    </cfRule>
  </conditionalFormatting>
  <conditionalFormatting sqref="H56">
    <cfRule type="cellIs" priority="40" operator="equal" dxfId="17">
      <formula>"✓ OK"</formula>
    </cfRule>
    <cfRule type="cellIs" priority="41" operator="notEqual" dxfId="15">
      <formula>"✓ OK"</formula>
    </cfRule>
  </conditionalFormatting>
  <dataValidations count="1">
    <dataValidation sqref="B6:Q6 B12:R12" showDropDown="0" showInputMessage="0" showErrorMessage="0" allowBlank="1" type="list">
      <formula1>"101,102,111,112,121,6101,6102,6111,6112,6121,7101,7102,7111,7112,7121,X_AM,X_PM,X_10,AG,CN,JC,RH,CH,RR,CV,ZM"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Q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L48:L49 A1"/>
    </sheetView>
  </sheetViews>
  <sheetFormatPr baseColWidth="8" defaultColWidth="8.6796875" defaultRowHeight="15" customHeight="0" zeroHeight="0" outlineLevelRow="0"/>
  <cols>
    <col width="45" customWidth="1" style="66" min="1" max="1"/>
    <col width="10" customWidth="1" style="66" min="2" max="17"/>
  </cols>
  <sheetData>
    <row r="1" ht="24.75" customHeight="1" s="67">
      <c r="A1" s="107" t="inlineStr">
        <is>
          <t>NOVEMBRE 2026</t>
        </is>
      </c>
    </row>
    <row r="2" ht="15" customHeight="1" s="67">
      <c r="A2" s="69" t="n"/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</row>
    <row r="3" ht="15" customHeight="1" s="67">
      <c r="A3" s="108" t="inlineStr">
        <is>
          <t>Jours 1-15</t>
        </is>
      </c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</row>
    <row r="4" ht="18" customHeight="1" s="67">
      <c r="A4" s="76" t="inlineStr">
        <is>
          <t>Jour</t>
        </is>
      </c>
      <c r="B4" s="109" t="n">
        <v>1</v>
      </c>
      <c r="C4" s="110" t="n">
        <v>2</v>
      </c>
      <c r="D4" s="110" t="n">
        <v>3</v>
      </c>
      <c r="E4" s="110" t="n">
        <v>4</v>
      </c>
      <c r="F4" s="110" t="n">
        <v>5</v>
      </c>
      <c r="G4" s="110" t="n">
        <v>6</v>
      </c>
      <c r="H4" s="111" t="n">
        <v>7</v>
      </c>
      <c r="I4" s="111" t="n">
        <v>8</v>
      </c>
      <c r="J4" s="110" t="n">
        <v>9</v>
      </c>
      <c r="K4" s="110" t="n">
        <v>10</v>
      </c>
      <c r="L4" s="109" t="n">
        <v>11</v>
      </c>
      <c r="M4" s="110" t="n">
        <v>12</v>
      </c>
      <c r="N4" s="110" t="n">
        <v>13</v>
      </c>
      <c r="O4" s="111" t="n">
        <v>14</v>
      </c>
      <c r="P4" s="112" t="n">
        <v>15</v>
      </c>
    </row>
    <row r="5" ht="18" customHeight="1" s="67">
      <c r="A5" s="76" t="inlineStr">
        <is>
          <t>J.sem</t>
        </is>
      </c>
      <c r="B5" s="113" t="inlineStr">
        <is>
          <t>D</t>
        </is>
      </c>
      <c r="C5" s="110" t="inlineStr">
        <is>
          <t>L</t>
        </is>
      </c>
      <c r="D5" s="110" t="inlineStr">
        <is>
          <t>M</t>
        </is>
      </c>
      <c r="E5" s="110" t="inlineStr">
        <is>
          <t>M</t>
        </is>
      </c>
      <c r="F5" s="110" t="inlineStr">
        <is>
          <t>J</t>
        </is>
      </c>
      <c r="G5" s="110" t="inlineStr">
        <is>
          <t>V</t>
        </is>
      </c>
      <c r="H5" s="111" t="inlineStr">
        <is>
          <t>S</t>
        </is>
      </c>
      <c r="I5" s="111" t="inlineStr">
        <is>
          <t>D</t>
        </is>
      </c>
      <c r="J5" s="110" t="inlineStr">
        <is>
          <t>L</t>
        </is>
      </c>
      <c r="K5" s="110" t="inlineStr">
        <is>
          <t>M</t>
        </is>
      </c>
      <c r="L5" s="113" t="inlineStr">
        <is>
          <t>M</t>
        </is>
      </c>
      <c r="M5" s="110" t="inlineStr">
        <is>
          <t>J</t>
        </is>
      </c>
      <c r="N5" s="110" t="inlineStr">
        <is>
          <t>V</t>
        </is>
      </c>
      <c r="O5" s="111" t="inlineStr">
        <is>
          <t>S</t>
        </is>
      </c>
      <c r="P5" s="112" t="inlineStr">
        <is>
          <t>D</t>
        </is>
      </c>
    </row>
    <row r="6" ht="24.75" customHeight="1" s="67">
      <c r="A6" s="76" t="inlineStr">
        <is>
          <t>Code</t>
        </is>
      </c>
      <c r="B6" s="114" t="n"/>
      <c r="C6" s="114" t="n"/>
      <c r="D6" s="114" t="n"/>
      <c r="E6" s="114" t="n"/>
      <c r="F6" s="114" t="n"/>
      <c r="G6" s="114" t="n"/>
      <c r="H6" s="114" t="n"/>
      <c r="I6" s="114" t="n"/>
      <c r="J6" s="114" t="n"/>
      <c r="K6" s="114" t="n"/>
      <c r="L6" s="114" t="n"/>
      <c r="M6" s="114" t="n"/>
      <c r="N6" s="114" t="n"/>
      <c r="O6" s="114" t="n"/>
      <c r="P6" s="139" t="n"/>
    </row>
    <row r="7" ht="15" customHeight="1" s="67">
      <c r="A7" s="76" t="inlineStr">
        <is>
          <t>Période</t>
        </is>
      </c>
      <c r="B7" s="118" t="inlineStr">
        <is>
          <t>P11</t>
        </is>
      </c>
      <c r="C7" s="118" t="inlineStr">
        <is>
          <t>P11</t>
        </is>
      </c>
      <c r="D7" s="118" t="inlineStr">
        <is>
          <t>P11</t>
        </is>
      </c>
      <c r="E7" s="118" t="inlineStr">
        <is>
          <t>P11</t>
        </is>
      </c>
      <c r="F7" s="118" t="inlineStr">
        <is>
          <t>P11</t>
        </is>
      </c>
      <c r="G7" s="118" t="inlineStr">
        <is>
          <t>P11</t>
        </is>
      </c>
      <c r="H7" s="118" t="inlineStr">
        <is>
          <t>P11</t>
        </is>
      </c>
      <c r="I7" s="118" t="inlineStr">
        <is>
          <t>P11</t>
        </is>
      </c>
      <c r="J7" s="118" t="inlineStr">
        <is>
          <t>P11</t>
        </is>
      </c>
      <c r="K7" s="118" t="inlineStr">
        <is>
          <t>P11</t>
        </is>
      </c>
      <c r="L7" s="118" t="inlineStr">
        <is>
          <t>P11</t>
        </is>
      </c>
      <c r="M7" s="118" t="inlineStr">
        <is>
          <t>P11</t>
        </is>
      </c>
      <c r="N7" s="118" t="inlineStr">
        <is>
          <t>P11</t>
        </is>
      </c>
      <c r="O7" s="118" t="inlineStr">
        <is>
          <t>P11</t>
        </is>
      </c>
      <c r="P7" s="117" t="inlineStr">
        <is>
          <t>P11</t>
        </is>
      </c>
    </row>
    <row r="8" ht="15" customHeight="1" s="67">
      <c r="A8" s="69" t="n"/>
      <c r="B8" s="69" t="n"/>
      <c r="C8" s="69" t="n"/>
      <c r="D8" s="69" t="n"/>
      <c r="E8" s="69" t="n"/>
      <c r="F8" s="69" t="n"/>
      <c r="G8" s="69" t="n"/>
      <c r="H8" s="69" t="n"/>
      <c r="I8" s="69" t="n"/>
      <c r="J8" s="69" t="n"/>
      <c r="K8" s="69" t="n"/>
      <c r="L8" s="69" t="n"/>
      <c r="M8" s="69" t="n"/>
      <c r="N8" s="69" t="n"/>
      <c r="O8" s="69" t="n"/>
      <c r="P8" s="69" t="n"/>
    </row>
    <row r="9" ht="15" customHeight="1" s="67">
      <c r="A9" s="108" t="inlineStr">
        <is>
          <t>Jours 16-30</t>
        </is>
      </c>
      <c r="B9" s="69" t="n"/>
      <c r="C9" s="69" t="n"/>
      <c r="D9" s="69" t="n"/>
      <c r="E9" s="69" t="n"/>
      <c r="F9" s="69" t="n"/>
      <c r="G9" s="69" t="n"/>
      <c r="H9" s="69" t="n"/>
      <c r="I9" s="69" t="n"/>
      <c r="J9" s="69" t="n"/>
      <c r="K9" s="69" t="n"/>
      <c r="L9" s="69" t="n"/>
      <c r="M9" s="69" t="n"/>
      <c r="N9" s="69" t="n"/>
      <c r="O9" s="69" t="n"/>
      <c r="P9" s="69" t="n"/>
    </row>
    <row r="10" ht="18" customHeight="1" s="67">
      <c r="A10" s="76" t="inlineStr">
        <is>
          <t>Jour</t>
        </is>
      </c>
      <c r="B10" s="112" t="n">
        <v>16</v>
      </c>
      <c r="C10" s="110" t="n">
        <v>17</v>
      </c>
      <c r="D10" s="110" t="n">
        <v>18</v>
      </c>
      <c r="E10" s="110" t="n">
        <v>19</v>
      </c>
      <c r="F10" s="110" t="n">
        <v>20</v>
      </c>
      <c r="G10" s="111" t="n">
        <v>21</v>
      </c>
      <c r="H10" s="111" t="n">
        <v>22</v>
      </c>
      <c r="I10" s="110" t="n">
        <v>23</v>
      </c>
      <c r="J10" s="110" t="n">
        <v>24</v>
      </c>
      <c r="K10" s="110" t="n">
        <v>25</v>
      </c>
      <c r="L10" s="110" t="n">
        <v>26</v>
      </c>
      <c r="M10" s="110" t="n">
        <v>27</v>
      </c>
      <c r="N10" s="111" t="n">
        <v>28</v>
      </c>
      <c r="O10" s="120" t="n">
        <v>29</v>
      </c>
      <c r="P10" s="119" t="n">
        <v>30</v>
      </c>
      <c r="Q10" s="141" t="n"/>
    </row>
    <row r="11" ht="18" customHeight="1" s="67">
      <c r="A11" s="76" t="inlineStr">
        <is>
          <t>J.sem</t>
        </is>
      </c>
      <c r="B11" s="112" t="inlineStr">
        <is>
          <t>L</t>
        </is>
      </c>
      <c r="C11" s="110" t="inlineStr">
        <is>
          <t>M</t>
        </is>
      </c>
      <c r="D11" s="110" t="inlineStr">
        <is>
          <t>M</t>
        </is>
      </c>
      <c r="E11" s="110" t="inlineStr">
        <is>
          <t>J</t>
        </is>
      </c>
      <c r="F11" s="110" t="inlineStr">
        <is>
          <t>V</t>
        </is>
      </c>
      <c r="G11" s="111" t="inlineStr">
        <is>
          <t>S</t>
        </is>
      </c>
      <c r="H11" s="111" t="inlineStr">
        <is>
          <t>D</t>
        </is>
      </c>
      <c r="I11" s="110" t="inlineStr">
        <is>
          <t>L</t>
        </is>
      </c>
      <c r="J11" s="110" t="inlineStr">
        <is>
          <t>M</t>
        </is>
      </c>
      <c r="K11" s="110" t="inlineStr">
        <is>
          <t>M</t>
        </is>
      </c>
      <c r="L11" s="110" t="inlineStr">
        <is>
          <t>J</t>
        </is>
      </c>
      <c r="M11" s="110" t="inlineStr">
        <is>
          <t>V</t>
        </is>
      </c>
      <c r="N11" s="111" t="inlineStr">
        <is>
          <t>S</t>
        </is>
      </c>
      <c r="O11" s="120" t="inlineStr">
        <is>
          <t>D</t>
        </is>
      </c>
      <c r="P11" s="119" t="inlineStr">
        <is>
          <t>L</t>
        </is>
      </c>
      <c r="Q11" s="141" t="n"/>
    </row>
    <row r="12" ht="24.75" customHeight="1" s="67">
      <c r="A12" s="76" t="inlineStr">
        <is>
          <t>Code</t>
        </is>
      </c>
      <c r="B12" s="115" t="n"/>
      <c r="C12" s="114" t="n"/>
      <c r="D12" s="114" t="n"/>
      <c r="E12" s="114" t="n"/>
      <c r="F12" s="114" t="n"/>
      <c r="G12" s="114" t="n"/>
      <c r="H12" s="114" t="n"/>
      <c r="I12" s="114" t="n"/>
      <c r="J12" s="114" t="n"/>
      <c r="K12" s="114" t="n"/>
      <c r="L12" s="114" t="n"/>
      <c r="M12" s="114" t="n"/>
      <c r="N12" s="114" t="n"/>
      <c r="O12" s="114" t="n"/>
      <c r="P12" s="114" t="n"/>
      <c r="Q12" s="141" t="n"/>
    </row>
    <row r="13" ht="15" customHeight="1" s="67">
      <c r="A13" s="76" t="inlineStr">
        <is>
          <t>Période</t>
        </is>
      </c>
      <c r="B13" s="117" t="inlineStr">
        <is>
          <t>P12</t>
        </is>
      </c>
      <c r="C13" s="118" t="inlineStr">
        <is>
          <t>P12</t>
        </is>
      </c>
      <c r="D13" s="118" t="inlineStr">
        <is>
          <t>P12</t>
        </is>
      </c>
      <c r="E13" s="118" t="inlineStr">
        <is>
          <t>P12</t>
        </is>
      </c>
      <c r="F13" s="118" t="inlineStr">
        <is>
          <t>P12</t>
        </is>
      </c>
      <c r="G13" s="118" t="inlineStr">
        <is>
          <t>P12</t>
        </is>
      </c>
      <c r="H13" s="118" t="inlineStr">
        <is>
          <t>P12</t>
        </is>
      </c>
      <c r="I13" s="118" t="inlineStr">
        <is>
          <t>P12</t>
        </is>
      </c>
      <c r="J13" s="118" t="inlineStr">
        <is>
          <t>P12</t>
        </is>
      </c>
      <c r="K13" s="118" t="inlineStr">
        <is>
          <t>P12</t>
        </is>
      </c>
      <c r="L13" s="118" t="inlineStr">
        <is>
          <t>P12</t>
        </is>
      </c>
      <c r="M13" s="118" t="inlineStr">
        <is>
          <t>P12</t>
        </is>
      </c>
      <c r="N13" s="118" t="inlineStr">
        <is>
          <t>P12</t>
        </is>
      </c>
      <c r="O13" s="118" t="inlineStr">
        <is>
          <t>P12</t>
        </is>
      </c>
      <c r="P13" s="118" t="inlineStr">
        <is>
          <t>P12</t>
        </is>
      </c>
      <c r="Q13" s="141" t="n"/>
    </row>
    <row r="16" ht="15" customHeight="1" s="67">
      <c r="A16" s="104" t="inlineStr">
        <is>
          <t>Prestations</t>
        </is>
      </c>
      <c r="B16" s="104" t="inlineStr">
        <is>
          <t>Jours</t>
        </is>
      </c>
      <c r="C16" s="104" t="inlineStr">
        <is>
          <t>H. Totales</t>
        </is>
      </c>
      <c r="D16" s="104" t="inlineStr">
        <is>
          <t>H. Nuit</t>
        </is>
      </c>
      <c r="E16" s="104" t="inlineStr">
        <is>
          <t>Couleur</t>
        </is>
      </c>
      <c r="F16" s="106" t="n"/>
      <c r="G16" s="106" t="n"/>
      <c r="H16" s="106" t="n"/>
      <c r="I16" s="106" t="n"/>
      <c r="J16" s="106" t="n"/>
    </row>
    <row r="17">
      <c r="A17" s="105" t="inlineStr">
        <is>
          <t>101</t>
        </is>
      </c>
      <c r="B17" s="105">
        <f>COUNTIF(B6:P6,"101")+COUNTIF(B12:R12,"101")</f>
        <v/>
      </c>
      <c r="C17" s="105">
        <f>B17*8</f>
        <v/>
      </c>
      <c r="D17" s="105">
        <f>B17*2</f>
        <v/>
      </c>
      <c r="E17" s="121" t="n"/>
      <c r="F17" s="106" t="n"/>
      <c r="G17" s="106" t="n"/>
      <c r="H17" s="106" t="n"/>
      <c r="I17" s="106" t="n"/>
      <c r="J17" s="106" t="n"/>
    </row>
    <row r="18" ht="15" customHeight="1" s="67">
      <c r="A18" s="105" t="inlineStr">
        <is>
          <t>102</t>
        </is>
      </c>
      <c r="B18" s="105">
        <f>COUNTIF(B6:P6,"102")+COUNTIF(B12:R12,"102")</f>
        <v/>
      </c>
      <c r="C18" s="105">
        <f>B18*8</f>
        <v/>
      </c>
      <c r="D18" s="105">
        <f>B18*2</f>
        <v/>
      </c>
      <c r="E18" s="122" t="n"/>
      <c r="F18" s="106" t="n"/>
      <c r="G18" s="106" t="n"/>
      <c r="H18" s="106" t="n"/>
      <c r="I18" s="106" t="n"/>
      <c r="J18" s="106" t="n"/>
    </row>
    <row r="19" ht="15" customHeight="1" s="67">
      <c r="A19" s="105" t="inlineStr">
        <is>
          <t>111</t>
        </is>
      </c>
      <c r="B19" s="105">
        <f>COUNTIF(B6:P6,"111")+COUNTIF(B12:R12,"111")</f>
        <v/>
      </c>
      <c r="C19" s="105">
        <f>B19*8</f>
        <v/>
      </c>
      <c r="D19" s="105">
        <f>B19*2</f>
        <v/>
      </c>
      <c r="E19" s="123" t="n"/>
      <c r="F19" s="106" t="n"/>
      <c r="G19" s="106" t="n"/>
      <c r="H19" s="106" t="n"/>
      <c r="I19" s="106" t="n"/>
      <c r="J19" s="106" t="n"/>
    </row>
    <row r="20" ht="15" customHeight="1" s="67">
      <c r="A20" s="105" t="inlineStr">
        <is>
          <t>112</t>
        </is>
      </c>
      <c r="B20" s="105">
        <f>COUNTIF(B6:P6,"112")+COUNTIF(B12:R12,"112")</f>
        <v/>
      </c>
      <c r="C20" s="105">
        <f>B20*8</f>
        <v/>
      </c>
      <c r="D20" s="105">
        <f>B20*2</f>
        <v/>
      </c>
      <c r="E20" s="124" t="n"/>
      <c r="F20" s="106" t="n"/>
      <c r="G20" s="106" t="n"/>
      <c r="H20" s="106" t="n"/>
      <c r="I20" s="106" t="n"/>
      <c r="J20" s="106" t="n"/>
    </row>
    <row r="21" ht="15" customHeight="1" s="67">
      <c r="A21" s="105" t="inlineStr">
        <is>
          <t>121</t>
        </is>
      </c>
      <c r="B21" s="105">
        <f>COUNTIF(B6:P6,"121")+COUNTIF(B12:R12,"121")</f>
        <v/>
      </c>
      <c r="C21" s="105">
        <f>B21*8</f>
        <v/>
      </c>
      <c r="D21" s="105">
        <f>B21*8</f>
        <v/>
      </c>
      <c r="E21" s="125" t="n"/>
      <c r="F21" s="106" t="n"/>
      <c r="G21" s="106" t="n"/>
      <c r="H21" s="106" t="n"/>
      <c r="I21" s="106" t="n"/>
      <c r="J21" s="106" t="n"/>
    </row>
    <row r="22" ht="15" customHeight="1" s="67">
      <c r="A22" s="105" t="inlineStr">
        <is>
          <t>6101</t>
        </is>
      </c>
      <c r="B22" s="105">
        <f>COUNTIF(B6:P6,"6101")+COUNTIF(B12:R12,"6101")</f>
        <v/>
      </c>
      <c r="C22" s="105">
        <f>B22*8</f>
        <v/>
      </c>
      <c r="D22" s="105">
        <f>B22*2</f>
        <v/>
      </c>
      <c r="E22" s="121" t="n"/>
      <c r="F22" s="106" t="n"/>
      <c r="G22" s="106" t="n"/>
      <c r="H22" s="106" t="n"/>
      <c r="I22" s="106" t="n"/>
      <c r="J22" s="106" t="n"/>
    </row>
    <row r="23" ht="15" customHeight="1" s="67">
      <c r="A23" s="105" t="inlineStr">
        <is>
          <t>6102</t>
        </is>
      </c>
      <c r="B23" s="105">
        <f>COUNTIF(B6:P6,"6102")+COUNTIF(B12:R12,"6102")</f>
        <v/>
      </c>
      <c r="C23" s="105">
        <f>B23*8</f>
        <v/>
      </c>
      <c r="D23" s="105">
        <f>B23*2</f>
        <v/>
      </c>
      <c r="E23" s="122" t="n"/>
      <c r="F23" s="106" t="n"/>
      <c r="G23" s="106" t="n"/>
      <c r="H23" s="106" t="n"/>
      <c r="I23" s="106" t="n"/>
      <c r="J23" s="106" t="n"/>
    </row>
    <row r="24" ht="15" customHeight="1" s="67">
      <c r="A24" s="105" t="inlineStr">
        <is>
          <t>6111</t>
        </is>
      </c>
      <c r="B24" s="105">
        <f>COUNTIF(B6:P6,"6111")+COUNTIF(B12:R12,"6111")</f>
        <v/>
      </c>
      <c r="C24" s="105">
        <f>B24*8</f>
        <v/>
      </c>
      <c r="D24" s="105">
        <f>B24*2</f>
        <v/>
      </c>
      <c r="E24" s="123" t="n"/>
      <c r="F24" s="106" t="n"/>
      <c r="G24" s="106" t="n"/>
      <c r="H24" s="106" t="n"/>
      <c r="I24" s="106" t="n"/>
      <c r="J24" s="106" t="n"/>
    </row>
    <row r="25" ht="15" customHeight="1" s="67">
      <c r="A25" s="105" t="inlineStr">
        <is>
          <t>6112</t>
        </is>
      </c>
      <c r="B25" s="105">
        <f>COUNTIF(B6:P6,"6112")+COUNTIF(B12:R12,"6112")</f>
        <v/>
      </c>
      <c r="C25" s="105">
        <f>B25*8</f>
        <v/>
      </c>
      <c r="D25" s="105">
        <f>B25*2</f>
        <v/>
      </c>
      <c r="E25" s="124" t="n"/>
      <c r="F25" s="106" t="n"/>
      <c r="G25" s="106" t="n"/>
      <c r="H25" s="106" t="n"/>
      <c r="I25" s="106" t="n"/>
      <c r="J25" s="106" t="n"/>
    </row>
    <row r="26" ht="15" customHeight="1" s="67">
      <c r="A26" s="105" t="inlineStr">
        <is>
          <t>6121</t>
        </is>
      </c>
      <c r="B26" s="105">
        <f>COUNTIF(B6:P6,"6121")+COUNTIF(B12:R12,"6121")</f>
        <v/>
      </c>
      <c r="C26" s="105">
        <f>B26*8</f>
        <v/>
      </c>
      <c r="D26" s="105">
        <f>B26*8</f>
        <v/>
      </c>
      <c r="E26" s="125" t="n"/>
      <c r="F26" s="106" t="n"/>
      <c r="G26" s="106" t="n"/>
      <c r="H26" s="106" t="n"/>
      <c r="I26" s="106" t="n"/>
      <c r="J26" s="106" t="n"/>
    </row>
    <row r="27" ht="15" customHeight="1" s="67">
      <c r="A27" s="105" t="inlineStr">
        <is>
          <t>7101</t>
        </is>
      </c>
      <c r="B27" s="105">
        <f>COUNTIF(B6:P6,"7101")+COUNTIF(B12:R12,"7101")</f>
        <v/>
      </c>
      <c r="C27" s="105">
        <f>B27*8</f>
        <v/>
      </c>
      <c r="D27" s="105">
        <f>B27*2</f>
        <v/>
      </c>
      <c r="E27" s="121" t="n"/>
      <c r="F27" s="106" t="n"/>
      <c r="G27" s="106" t="n"/>
      <c r="H27" s="106" t="n"/>
      <c r="I27" s="106" t="n"/>
      <c r="J27" s="106" t="n"/>
    </row>
    <row r="28" ht="15" customHeight="1" s="67">
      <c r="A28" s="105" t="inlineStr">
        <is>
          <t>7102</t>
        </is>
      </c>
      <c r="B28" s="105">
        <f>COUNTIF(B6:P6,"7102")+COUNTIF(B12:R12,"7102")</f>
        <v/>
      </c>
      <c r="C28" s="105">
        <f>B28*8</f>
        <v/>
      </c>
      <c r="D28" s="105">
        <f>B28*2</f>
        <v/>
      </c>
      <c r="E28" s="122" t="n"/>
      <c r="F28" s="106" t="n"/>
      <c r="G28" s="106" t="n"/>
      <c r="H28" s="106" t="n"/>
      <c r="I28" s="106" t="n"/>
      <c r="J28" s="106" t="n"/>
    </row>
    <row r="29" ht="15" customHeight="1" s="67">
      <c r="A29" s="105" t="inlineStr">
        <is>
          <t>7111</t>
        </is>
      </c>
      <c r="B29" s="105">
        <f>COUNTIF(B6:P6,"7111")+COUNTIF(B12:R12,"7111")</f>
        <v/>
      </c>
      <c r="C29" s="105">
        <f>B29*8</f>
        <v/>
      </c>
      <c r="D29" s="105">
        <f>B29*2</f>
        <v/>
      </c>
      <c r="E29" s="123" t="n"/>
      <c r="F29" s="106" t="n"/>
      <c r="G29" s="106" t="n"/>
      <c r="H29" s="106" t="n"/>
      <c r="I29" s="106" t="n"/>
      <c r="J29" s="106" t="n"/>
    </row>
    <row r="30" ht="15" customHeight="1" s="67">
      <c r="A30" s="105" t="inlineStr">
        <is>
          <t>7112</t>
        </is>
      </c>
      <c r="B30" s="105">
        <f>COUNTIF(B6:P6,"7112")+COUNTIF(B12:R12,"7112")</f>
        <v/>
      </c>
      <c r="C30" s="105">
        <f>B30*8</f>
        <v/>
      </c>
      <c r="D30" s="105">
        <f>B30*2</f>
        <v/>
      </c>
      <c r="E30" s="124" t="n"/>
      <c r="F30" s="106" t="n"/>
      <c r="G30" s="106" t="n"/>
      <c r="H30" s="106" t="n"/>
      <c r="I30" s="106" t="n"/>
      <c r="J30" s="106" t="n"/>
    </row>
    <row r="31" ht="15" customHeight="1" s="67">
      <c r="A31" s="105" t="inlineStr">
        <is>
          <t>7121</t>
        </is>
      </c>
      <c r="B31" s="105">
        <f>COUNTIF(B6:P6,"7121")+COUNTIF(B12:R12,"7121")</f>
        <v/>
      </c>
      <c r="C31" s="105">
        <f>B31*8</f>
        <v/>
      </c>
      <c r="D31" s="105">
        <f>B31*8</f>
        <v/>
      </c>
      <c r="E31" s="125" t="n"/>
      <c r="F31" s="106" t="n"/>
      <c r="G31" s="106" t="n"/>
      <c r="H31" s="106" t="n"/>
      <c r="I31" s="106" t="n"/>
      <c r="J31" s="106" t="n"/>
    </row>
    <row r="32" ht="15" customHeight="1" s="67">
      <c r="A32" s="105" t="inlineStr">
        <is>
          <t>X_AM</t>
        </is>
      </c>
      <c r="B32" s="105">
        <f>COUNTIF(B6:P6,"X_AM")+COUNTIF(B12:R12,"X_AM")</f>
        <v/>
      </c>
      <c r="C32" s="105">
        <f>B32*8</f>
        <v/>
      </c>
      <c r="D32" s="105">
        <f>B32*2</f>
        <v/>
      </c>
      <c r="E32" s="126" t="n"/>
      <c r="F32" s="106" t="n"/>
      <c r="G32" s="106" t="n"/>
      <c r="H32" s="106" t="n"/>
      <c r="I32" s="106" t="n"/>
      <c r="J32" s="106" t="n"/>
    </row>
    <row r="33" ht="15" customHeight="1" s="67">
      <c r="A33" s="105" t="inlineStr">
        <is>
          <t>X_PM</t>
        </is>
      </c>
      <c r="B33" s="105">
        <f>COUNTIF(B6:P6,"X_PM")+COUNTIF(B12:R12,"X_PM")</f>
        <v/>
      </c>
      <c r="C33" s="105">
        <f>B33*8</f>
        <v/>
      </c>
      <c r="D33" s="105">
        <f>B33*2</f>
        <v/>
      </c>
      <c r="E33" s="126" t="n"/>
      <c r="F33" s="106" t="n"/>
      <c r="G33" s="106" t="n"/>
      <c r="H33" s="106" t="n"/>
      <c r="I33" s="106" t="n"/>
      <c r="J33" s="106" t="n"/>
    </row>
    <row r="34" ht="15" customHeight="1" s="67">
      <c r="A34" s="105" t="inlineStr">
        <is>
          <t>X_10</t>
        </is>
      </c>
      <c r="B34" s="105">
        <f>COUNTIF(B6:P6,"X_10")+COUNTIF(B12:R12,"X_10")</f>
        <v/>
      </c>
      <c r="C34" s="105">
        <f>B34*8</f>
        <v/>
      </c>
      <c r="D34" s="105" t="n">
        <v>0</v>
      </c>
      <c r="E34" s="127" t="n"/>
      <c r="F34" s="106" t="n"/>
      <c r="G34" s="106" t="n"/>
      <c r="H34" s="106" t="n"/>
      <c r="I34" s="106" t="n"/>
      <c r="J34" s="106" t="n"/>
    </row>
    <row r="35" ht="15" customHeight="1" s="67">
      <c r="A35" s="105" t="inlineStr">
        <is>
          <t>AG</t>
        </is>
      </c>
      <c r="B35" s="105">
        <f>COUNTIF(B6:P6,"AG")+COUNTIF(B12:R12,"AG")</f>
        <v/>
      </c>
      <c r="C35" s="105">
        <f>B35*8</f>
        <v/>
      </c>
      <c r="D35" s="105" t="n">
        <v>0</v>
      </c>
      <c r="E35" s="128" t="n"/>
      <c r="F35" s="106" t="n"/>
      <c r="G35" s="106" t="n"/>
      <c r="H35" s="106" t="n"/>
      <c r="I35" s="106" t="n"/>
      <c r="J35" s="106" t="n"/>
    </row>
    <row r="36" ht="15" customHeight="1" s="67">
      <c r="A36" s="129" t="inlineStr">
        <is>
          <t>TOTAL</t>
        </is>
      </c>
      <c r="B36" s="129">
        <f>SUM(B17:B35)</f>
        <v/>
      </c>
      <c r="C36" s="129">
        <f>SUM(C17:C35)</f>
        <v/>
      </c>
      <c r="D36" s="129">
        <f>SUM(D17:D35)</f>
        <v/>
      </c>
      <c r="E36" s="129" t="n"/>
      <c r="F36" s="106" t="n"/>
      <c r="G36" s="106" t="n"/>
      <c r="H36" s="106" t="n"/>
      <c r="I36" s="106" t="n"/>
      <c r="J36" s="106" t="n"/>
    </row>
    <row r="37" ht="15" customHeight="1" s="67">
      <c r="A37" s="130" t="n"/>
      <c r="B37" s="130" t="n"/>
      <c r="C37" s="130" t="n"/>
      <c r="D37" s="130" t="n"/>
      <c r="E37" s="130" t="n"/>
      <c r="F37" s="106" t="n"/>
      <c r="G37" s="106" t="n"/>
      <c r="H37" s="106" t="n"/>
      <c r="I37" s="106" t="n"/>
      <c r="J37" s="106" t="n"/>
    </row>
    <row r="38" ht="15" customHeight="1" s="67">
      <c r="A38" s="104" t="inlineStr">
        <is>
          <t>REPOS</t>
        </is>
      </c>
      <c r="B38" s="104" t="inlineStr">
        <is>
          <t>Jours</t>
        </is>
      </c>
      <c r="C38" s="104" t="inlineStr">
        <is>
          <t>H. Totales</t>
        </is>
      </c>
      <c r="D38" s="104" t="inlineStr">
        <is>
          <t>H. Nuit</t>
        </is>
      </c>
      <c r="E38" s="104" t="inlineStr">
        <is>
          <t>Couleur</t>
        </is>
      </c>
      <c r="F38" s="106" t="n"/>
      <c r="G38" s="106" t="n"/>
      <c r="H38" s="106" t="n"/>
      <c r="I38" s="106" t="n"/>
      <c r="J38" s="106" t="n"/>
    </row>
    <row r="39" ht="15" customHeight="1" s="67">
      <c r="A39" s="105" t="inlineStr">
        <is>
          <t>CN</t>
        </is>
      </c>
      <c r="B39" s="105">
        <f>COUNTIF(B6:P6,"CN")+COUNTIF(B12:R12,"CN")</f>
        <v/>
      </c>
      <c r="C39" s="105">
        <f>B39*8</f>
        <v/>
      </c>
      <c r="D39" s="105" t="n">
        <v>0</v>
      </c>
      <c r="E39" s="131" t="n"/>
      <c r="F39" s="106" t="n"/>
      <c r="G39" s="106" t="n"/>
      <c r="H39" s="106" t="n"/>
      <c r="I39" s="106" t="n"/>
      <c r="J39" s="106" t="n"/>
    </row>
    <row r="40" ht="15" customHeight="1" s="67">
      <c r="A40" s="105" t="inlineStr">
        <is>
          <t>JC</t>
        </is>
      </c>
      <c r="B40" s="105">
        <f>COUNTIF(B6:P6,"JC")+COUNTIF(B12:R12,"JC")</f>
        <v/>
      </c>
      <c r="C40" s="105">
        <f>B40*8</f>
        <v/>
      </c>
      <c r="D40" s="105" t="n">
        <v>0</v>
      </c>
      <c r="E40" s="131" t="n"/>
      <c r="F40" s="106" t="n"/>
      <c r="G40" s="106" t="n"/>
      <c r="H40" s="106" t="n"/>
      <c r="I40" s="106" t="n"/>
      <c r="J40" s="106" t="n"/>
    </row>
    <row r="41" ht="15" customHeight="1" s="67">
      <c r="A41" s="105" t="inlineStr">
        <is>
          <t>RH</t>
        </is>
      </c>
      <c r="B41" s="105">
        <f>COUNTIF(B6:P6,"RH")+COUNTIF(B12:R12,"RH")</f>
        <v/>
      </c>
      <c r="C41" s="105" t="n">
        <v>0</v>
      </c>
      <c r="D41" s="105" t="n">
        <v>0</v>
      </c>
      <c r="E41" s="132" t="n"/>
      <c r="F41" s="106" t="n"/>
      <c r="G41" s="106" t="n"/>
      <c r="H41" s="106" t="n"/>
      <c r="I41" s="106" t="n"/>
      <c r="J41" s="106" t="n"/>
    </row>
    <row r="42" ht="15" customHeight="1" s="67">
      <c r="A42" s="105" t="inlineStr">
        <is>
          <t>CH</t>
        </is>
      </c>
      <c r="B42" s="105">
        <f>COUNTIF(B6:P6,"CH")+COUNTIF(B12:R12,"CH")</f>
        <v/>
      </c>
      <c r="C42" s="105" t="n">
        <v>0</v>
      </c>
      <c r="D42" s="105" t="n">
        <v>0</v>
      </c>
      <c r="E42" s="133" t="n"/>
      <c r="F42" s="106" t="n"/>
      <c r="G42" s="106" t="n"/>
      <c r="H42" s="106" t="n"/>
      <c r="I42" s="106" t="n"/>
      <c r="J42" s="106" t="n"/>
    </row>
    <row r="43" ht="15" customHeight="1" s="67">
      <c r="A43" s="105" t="inlineStr">
        <is>
          <t>RR</t>
        </is>
      </c>
      <c r="B43" s="105">
        <f>COUNTIF(B6:P6,"RR")+COUNTIF(B12:R12,"RR")</f>
        <v/>
      </c>
      <c r="C43" s="105">
        <f>B43*8</f>
        <v/>
      </c>
      <c r="D43" s="105" t="n">
        <v>0</v>
      </c>
      <c r="E43" s="134" t="n"/>
      <c r="F43" s="106" t="n"/>
      <c r="G43" s="106" t="n"/>
      <c r="H43" s="106" t="n"/>
      <c r="I43" s="106" t="n"/>
      <c r="J43" s="106" t="n"/>
    </row>
    <row r="44">
      <c r="A44" s="105" t="inlineStr">
        <is>
          <t>CV</t>
        </is>
      </c>
      <c r="B44" s="105">
        <f>COUNTIF(B6:P6,"CV")+COUNTIF(B12:R12,"CV")</f>
        <v/>
      </c>
      <c r="C44" s="105">
        <f>B44*8</f>
        <v/>
      </c>
      <c r="D44" s="105" t="n">
        <v>0</v>
      </c>
      <c r="E44" s="135" t="n"/>
      <c r="F44" s="106" t="n"/>
      <c r="G44" s="106" t="n"/>
      <c r="H44" s="106" t="n"/>
      <c r="I44" s="106" t="n"/>
      <c r="J44" s="106" t="n"/>
    </row>
    <row r="45" ht="15" customHeight="1" s="67">
      <c r="A45" s="105" t="inlineStr">
        <is>
          <t>ZM</t>
        </is>
      </c>
      <c r="B45" s="105">
        <f>COUNTIF(B6:P6,"ZM")+COUNTIF(B12:R12,"ZM")</f>
        <v/>
      </c>
      <c r="C45" s="105">
        <f>B45*8</f>
        <v/>
      </c>
      <c r="D45" s="105" t="n">
        <v>0</v>
      </c>
      <c r="E45" s="136" t="n"/>
      <c r="F45" s="106" t="n"/>
      <c r="G45" s="106" t="n"/>
      <c r="H45" s="106" t="n"/>
      <c r="I45" s="106" t="n"/>
      <c r="J45" s="106" t="n"/>
    </row>
    <row r="46">
      <c r="A46" s="129" t="inlineStr">
        <is>
          <t>TOTAL</t>
        </is>
      </c>
      <c r="B46" s="129">
        <f>SUM(B39:B45)</f>
        <v/>
      </c>
      <c r="C46" s="129">
        <f>SUM(C39:C45)</f>
        <v/>
      </c>
      <c r="D46" s="129">
        <f>SUM(D39:D45)</f>
        <v/>
      </c>
      <c r="E46" s="129" t="n"/>
      <c r="F46" s="106" t="n"/>
      <c r="G46" s="106" t="n"/>
      <c r="H46" s="106" t="n"/>
      <c r="I46" s="106" t="n"/>
      <c r="J46" s="106" t="n"/>
    </row>
    <row r="47" ht="15" customHeight="1" s="67">
      <c r="A47" s="130" t="n"/>
      <c r="B47" s="130" t="n"/>
      <c r="C47" s="130" t="n"/>
      <c r="D47" s="130" t="n"/>
      <c r="E47" s="106" t="n"/>
      <c r="F47" s="106" t="n"/>
      <c r="G47" s="106" t="n"/>
      <c r="H47" s="106" t="n"/>
      <c r="I47" s="106" t="n"/>
      <c r="J47" s="106" t="n"/>
    </row>
    <row r="48" ht="15" customHeight="1" s="67">
      <c r="A48" s="137" t="inlineStr">
        <is>
          <t>Total Heures</t>
        </is>
      </c>
      <c r="B48" s="130" t="n"/>
      <c r="C48" s="137">
        <f>C36+C46</f>
        <v/>
      </c>
      <c r="D48" s="130" t="n"/>
      <c r="E48" s="106" t="n"/>
      <c r="F48" s="106" t="n"/>
      <c r="G48" s="106" t="n"/>
      <c r="H48" s="106" t="n"/>
      <c r="I48" s="106" t="n"/>
      <c r="J48" s="106" t="n"/>
    </row>
    <row r="49" ht="15" customHeight="1" s="67">
      <c r="A49" s="130" t="n"/>
      <c r="B49" s="130" t="n"/>
      <c r="C49" s="130" t="n"/>
      <c r="D49" s="130" t="n"/>
      <c r="E49" s="106" t="n"/>
      <c r="F49" s="106" t="n"/>
      <c r="G49" s="106" t="n"/>
      <c r="H49" s="106" t="n"/>
      <c r="I49" s="106" t="n"/>
      <c r="J49" s="106" t="n"/>
    </row>
    <row r="50" ht="15" customHeight="1" s="67">
      <c r="A50" s="130" t="n"/>
      <c r="B50" s="130" t="n"/>
      <c r="C50" s="130" t="n"/>
      <c r="D50" s="130" t="n"/>
      <c r="E50" s="106" t="n"/>
      <c r="F50" s="106" t="n"/>
      <c r="G50" s="106" t="n"/>
      <c r="H50" s="106" t="n"/>
      <c r="I50" s="106" t="n"/>
      <c r="J50" s="106" t="n"/>
    </row>
    <row r="51" ht="15" customHeight="1" s="67">
      <c r="A51" s="130" t="n"/>
      <c r="B51" s="130" t="n"/>
      <c r="C51" s="130" t="n"/>
      <c r="D51" s="130" t="n"/>
      <c r="E51" s="106" t="n"/>
      <c r="F51" s="106" t="n"/>
      <c r="G51" s="106" t="n"/>
      <c r="H51" s="106" t="n"/>
      <c r="I51" s="106" t="n"/>
      <c r="J51" s="106" t="n"/>
    </row>
    <row r="52">
      <c r="A52" s="138" t="inlineStr">
        <is>
          <t>CONTRÔLES PAR PÉRIODE - NOVEMBRE</t>
        </is>
      </c>
      <c r="B52" s="106" t="n"/>
      <c r="C52" s="106" t="n"/>
      <c r="D52" s="106" t="n"/>
      <c r="E52" s="106" t="n"/>
      <c r="F52" s="106" t="n"/>
      <c r="G52" s="106" t="n"/>
      <c r="H52" s="106" t="n"/>
      <c r="I52" s="106" t="n"/>
      <c r="J52" s="106" t="n"/>
    </row>
    <row r="53" ht="15" customHeight="1" s="67">
      <c r="A53" s="130" t="n"/>
      <c r="B53" s="106" t="n"/>
      <c r="C53" s="106" t="n"/>
      <c r="D53" s="106" t="n"/>
      <c r="E53" s="106" t="n"/>
      <c r="F53" s="106" t="n"/>
      <c r="G53" s="106" t="n"/>
      <c r="H53" s="106" t="n"/>
      <c r="I53" s="106" t="n"/>
      <c r="J53" s="106" t="n"/>
    </row>
    <row r="54">
      <c r="A54" s="104" t="inlineStr">
        <is>
          <t>Période</t>
        </is>
      </c>
      <c r="B54" s="104" t="inlineStr">
        <is>
          <t>Heures</t>
        </is>
      </c>
      <c r="C54" s="104" t="inlineStr">
        <is>
          <t>CH</t>
        </is>
      </c>
      <c r="D54" s="104" t="inlineStr">
        <is>
          <t>RH</t>
        </is>
      </c>
      <c r="E54" s="104" t="inlineStr">
        <is>
          <t>CV</t>
        </is>
      </c>
      <c r="F54" s="104" t="inlineStr">
        <is>
          <t>RR</t>
        </is>
      </c>
      <c r="G54" s="104" t="inlineStr">
        <is>
          <t>Férié Trav.</t>
        </is>
      </c>
      <c r="H54" s="104" t="inlineStr">
        <is>
          <t>Statut</t>
        </is>
      </c>
      <c r="I54" s="106" t="n"/>
      <c r="J54" s="106" t="n"/>
    </row>
    <row r="55" ht="15" customHeight="1" s="67">
      <c r="A55" s="105" t="inlineStr">
        <is>
          <t>P11</t>
        </is>
      </c>
      <c r="B55" s="105">
        <f>(COUNTIF('Octobre'!E12:Q12,"101") + COUNTIF('Novembre'!B6:P6,"101") + COUNTIF('Octobre'!E12:Q12,"102") + COUNTIF('Novembre'!B6:P6,"102") + COUNTIF('Octobre'!E12:Q12,"111") + COUNTIF('Novembre'!B6:P6,"111") + COUNTIF('Octobre'!E12:Q12,"112") + COUNTIF('Novembre'!B6:P6,"112") + COUNTIF('Octobre'!E12:Q12,"121") + COUNTIF('Novembre'!B6:P6,"121") + COUNTIF('Octobre'!E12:Q12,"6101") + COUNTIF('Novembre'!B6:P6,"6101") + COUNTIF('Octobre'!E12:Q12,"6102") + COUNTIF('Novembre'!B6:P6,"6102") + COUNTIF('Octobre'!E12:Q12,"6111") + COUNTIF('Novembre'!B6:P6,"6111") + COUNTIF('Octobre'!E12:Q12,"6112") + COUNTIF('Novembre'!B6:P6,"6112") + COUNTIF('Octobre'!E12:Q12,"6121") + COUNTIF('Novembre'!B6:P6,"6121") + COUNTIF('Octobre'!E12:Q12,"7101") + COUNTIF('Novembre'!B6:P6,"7101") + COUNTIF('Octobre'!E12:Q12,"7102") + COUNTIF('Novembre'!B6:P6,"7102") + COUNTIF('Octobre'!E12:Q12,"7111") + COUNTIF('Novembre'!B6:P6,"7111") + COUNTIF('Octobre'!E12:Q12,"7112") + COUNTIF('Novembre'!B6:P6,"7112") + COUNTIF('Octobre'!E12:Q12,"7121") + COUNTIF('Novembre'!B6:P6,"7121") + COUNTIF('Octobre'!E12:Q12,"X_AM") + COUNTIF('Novembre'!B6:P6,"X_AM") + COUNTIF('Octobre'!E12:Q12,"X_PM") + COUNTIF('Novembre'!B6:P6,"X_PM") + COUNTIF('Octobre'!E12:Q12,"X_10") + COUNTIF('Novembre'!B6:P6,"X_10") + COUNTIF('Octobre'!E12:Q12,"AG") + COUNTIF('Novembre'!B6:P6,"AG") + COUNTIF('Octobre'!E12:Q12,"CN") + COUNTIF('Novembre'!B6:P6,"CN") + COUNTIF('Octobre'!E12:Q12,"JC") + COUNTIF('Novembre'!B6:P6,"JC") + COUNTIF('Octobre'!E12:Q12,"RR") + COUNTIF('Novembre'!B6:P6,"RR") + COUNTIF('Octobre'!E12:Q12,"ZM") + COUNTIF('Novembre'!B6:P6,"ZM") + COUNTIF('Octobre'!E12:Q12,"CV") + COUNTIF('Novembre'!B6:P6,"CV"))*8</f>
        <v/>
      </c>
      <c r="C55" s="105">
        <f>COUNTIF('Octobre'!E12:Q12,"CH")+COUNTIF('Novembre'!B6:P6,"CH")</f>
        <v/>
      </c>
      <c r="D55" s="105">
        <f>COUNTIF('Octobre'!E12:Q12,"RH")+COUNTIF('Novembre'!B6:P6,"RH")</f>
        <v/>
      </c>
      <c r="E55" s="105">
        <f>COUNTIF('Octobre'!E12:Q12,"CV")+COUNTIF('Novembre'!B6:P6,"CV")</f>
        <v/>
      </c>
      <c r="F55" s="105">
        <f>COUNTIF('Octobre'!E12:Q12,"RR")+COUNTIF('Novembre'!B6:P6,"RR")</f>
        <v/>
      </c>
      <c r="G55" s="105">
        <f>SUM(COUNTIF('Novembre'!B6,{7101,7102,7111,7112,7121}))+SUM(COUNTIF('Novembre'!L6,{7101,7102,7111,7112,7121}))</f>
        <v/>
      </c>
      <c r="H55" s="105">
        <f>IF(B55&gt;160,"⚠ &gt;160h",IF(C55&lt;&gt;4,"⚠ CH≠4",IF(D55&lt;&gt;4,"⚠ RH≠4",IF(E55&lt;&gt;1,"⚠ CV≠1",IF(AND(G55&gt;0,F55=0),"⚠ RR manquant","✓ OK")))))</f>
        <v/>
      </c>
      <c r="I55" s="106" t="n"/>
      <c r="J55" s="106" t="n"/>
    </row>
    <row r="56" ht="15" customHeight="1" s="67">
      <c r="A56" s="105" t="inlineStr">
        <is>
          <t>P12</t>
        </is>
      </c>
      <c r="B56" s="105">
        <f>(COUNTIF('Novembre'!B12:P12,"101") + COUNTIF('Décembre'!B6:N6,"101") + COUNTIF('Novembre'!B12:P12,"102") + COUNTIF('Décembre'!B6:N6,"102") + COUNTIF('Novembre'!B12:P12,"111") + COUNTIF('Décembre'!B6:N6,"111") + COUNTIF('Novembre'!B12:P12,"112") + COUNTIF('Décembre'!B6:N6,"112") + COUNTIF('Novembre'!B12:P12,"121") + COUNTIF('Décembre'!B6:N6,"121") + COUNTIF('Novembre'!B12:P12,"6101") + COUNTIF('Décembre'!B6:N6,"6101") + COUNTIF('Novembre'!B12:P12,"6102") + COUNTIF('Décembre'!B6:N6,"6102") + COUNTIF('Novembre'!B12:P12,"6111") + COUNTIF('Décembre'!B6:N6,"6111") + COUNTIF('Novembre'!B12:P12,"6112") + COUNTIF('Décembre'!B6:N6,"6112") + COUNTIF('Novembre'!B12:P12,"6121") + COUNTIF('Décembre'!B6:N6,"6121") + COUNTIF('Novembre'!B12:P12,"7101") + COUNTIF('Décembre'!B6:N6,"7101") + COUNTIF('Novembre'!B12:P12,"7102") + COUNTIF('Décembre'!B6:N6,"7102") + COUNTIF('Novembre'!B12:P12,"7111") + COUNTIF('Décembre'!B6:N6,"7111") + COUNTIF('Novembre'!B12:P12,"7112") + COUNTIF('Décembre'!B6:N6,"7112") + COUNTIF('Novembre'!B12:P12,"7121") + COUNTIF('Décembre'!B6:N6,"7121") + COUNTIF('Novembre'!B12:P12,"X_AM") + COUNTIF('Décembre'!B6:N6,"X_AM") + COUNTIF('Novembre'!B12:P12,"X_PM") + COUNTIF('Décembre'!B6:N6,"X_PM") + COUNTIF('Novembre'!B12:P12,"X_10") + COUNTIF('Décembre'!B6:N6,"X_10") + COUNTIF('Novembre'!B12:P12,"AG") + COUNTIF('Décembre'!B6:N6,"AG") + COUNTIF('Novembre'!B12:P12,"CN") + COUNTIF('Décembre'!B6:N6,"CN") + COUNTIF('Novembre'!B12:P12,"JC") + COUNTIF('Décembre'!B6:N6,"JC") + COUNTIF('Novembre'!B12:P12,"RR") + COUNTIF('Décembre'!B6:N6,"RR") + COUNTIF('Novembre'!B12:P12,"ZM") + COUNTIF('Décembre'!B6:N6,"ZM") + COUNTIF('Novembre'!B12:P12,"CV") + COUNTIF('Décembre'!B6:N6,"CV"))*8</f>
        <v/>
      </c>
      <c r="C56" s="105">
        <f>COUNTIF('Novembre'!B12:P12,"CH")+COUNTIF('Décembre'!B6:N6,"CH")</f>
        <v/>
      </c>
      <c r="D56" s="105">
        <f>COUNTIF('Novembre'!B12:P12,"RH")+COUNTIF('Décembre'!B6:N6,"RH")</f>
        <v/>
      </c>
      <c r="E56" s="105">
        <f>COUNTIF('Novembre'!B12:P12,"CV")+COUNTIF('Décembre'!B6:N6,"CV")</f>
        <v/>
      </c>
      <c r="F56" s="105">
        <f>COUNTIF('Novembre'!B12:P12,"RR")+COUNTIF('Décembre'!B6:N6,"RR")</f>
        <v/>
      </c>
      <c r="G56" s="105" t="n">
        <v>0</v>
      </c>
      <c r="H56" s="105">
        <f>IF(B56&gt;160,"⚠ &gt;160h",IF(C56&lt;&gt;4,"⚠ CH≠4",IF(D56&lt;&gt;4,"⚠ RH≠4",IF(E56&lt;&gt;1,"⚠ CV≠1",IF(AND(G56&gt;0,F56=0),"⚠ RR manquant","✓ OK")))))</f>
        <v/>
      </c>
      <c r="I56" s="106" t="n"/>
      <c r="J56" s="106" t="n"/>
    </row>
    <row r="57" ht="15" customHeight="1" s="67">
      <c r="A57" s="130" t="n"/>
      <c r="B57" s="130" t="n"/>
      <c r="C57" s="130" t="n"/>
      <c r="D57" s="130" t="n"/>
      <c r="E57" s="106" t="n"/>
      <c r="F57" s="106" t="n"/>
      <c r="G57" s="106" t="n"/>
      <c r="H57" s="106" t="n"/>
      <c r="I57" s="106" t="n"/>
      <c r="J57" s="106" t="n"/>
    </row>
    <row r="58">
      <c r="A58" s="106" t="n"/>
      <c r="B58" s="106" t="n"/>
      <c r="C58" s="106" t="n"/>
      <c r="D58" s="106" t="n"/>
      <c r="E58" s="106" t="n"/>
      <c r="F58" s="106" t="n"/>
      <c r="G58" s="106" t="n"/>
      <c r="H58" s="106" t="n"/>
      <c r="I58" s="106" t="n"/>
      <c r="J58" s="106" t="n"/>
    </row>
    <row r="59">
      <c r="A59" s="106" t="n"/>
      <c r="B59" s="106" t="n"/>
      <c r="C59" s="106" t="n"/>
      <c r="D59" s="106" t="n"/>
      <c r="E59" s="106" t="n"/>
      <c r="F59" s="106" t="n"/>
      <c r="G59" s="106" t="n"/>
      <c r="H59" s="106" t="n"/>
      <c r="I59" s="106" t="n"/>
      <c r="J59" s="106" t="n"/>
    </row>
    <row r="60">
      <c r="A60" s="106" t="n"/>
      <c r="B60" s="106" t="n"/>
      <c r="C60" s="106" t="n"/>
      <c r="D60" s="106" t="n"/>
      <c r="E60" s="106" t="n"/>
      <c r="F60" s="106" t="n"/>
      <c r="G60" s="106" t="n"/>
      <c r="H60" s="106" t="n"/>
      <c r="I60" s="106" t="n"/>
      <c r="J60" s="106" t="n"/>
    </row>
    <row r="61">
      <c r="A61" s="106" t="n"/>
      <c r="B61" s="106" t="n"/>
      <c r="C61" s="106" t="n"/>
      <c r="D61" s="106" t="n"/>
      <c r="E61" s="106" t="n"/>
      <c r="F61" s="106" t="n"/>
      <c r="G61" s="106" t="n"/>
      <c r="H61" s="106" t="n"/>
      <c r="I61" s="106" t="n"/>
      <c r="J61" s="106" t="n"/>
    </row>
    <row r="62">
      <c r="A62" s="106" t="n"/>
      <c r="B62" s="106" t="n"/>
      <c r="C62" s="106" t="n"/>
      <c r="D62" s="106" t="n"/>
      <c r="E62" s="106" t="n"/>
      <c r="F62" s="106" t="n"/>
      <c r="G62" s="106" t="n"/>
      <c r="H62" s="106" t="n"/>
      <c r="I62" s="106" t="n"/>
      <c r="J62" s="106" t="n"/>
    </row>
    <row r="63">
      <c r="A63" s="106" t="n"/>
      <c r="B63" s="106" t="n"/>
      <c r="C63" s="106" t="n"/>
      <c r="D63" s="106" t="n"/>
      <c r="E63" s="106" t="n"/>
      <c r="F63" s="106" t="n"/>
      <c r="G63" s="106" t="n"/>
      <c r="H63" s="106" t="n"/>
      <c r="I63" s="106" t="n"/>
      <c r="J63" s="106" t="n"/>
    </row>
    <row r="64">
      <c r="A64" s="106" t="n"/>
      <c r="B64" s="106" t="n"/>
      <c r="C64" s="106" t="n"/>
      <c r="D64" s="106" t="n"/>
      <c r="E64" s="106" t="n"/>
      <c r="F64" s="106" t="n"/>
      <c r="G64" s="106" t="n"/>
      <c r="H64" s="106" t="n"/>
      <c r="I64" s="106" t="n"/>
      <c r="J64" s="106" t="n"/>
    </row>
    <row r="65">
      <c r="A65" s="106" t="n"/>
      <c r="B65" s="106" t="n"/>
      <c r="C65" s="106" t="n"/>
      <c r="D65" s="106" t="n"/>
      <c r="E65" s="106" t="n"/>
      <c r="F65" s="106" t="n"/>
      <c r="G65" s="106" t="n"/>
      <c r="H65" s="106" t="n"/>
      <c r="I65" s="106" t="n"/>
      <c r="J65" s="106" t="n"/>
    </row>
    <row r="66">
      <c r="A66" s="106" t="n"/>
      <c r="B66" s="106" t="n"/>
      <c r="C66" s="106" t="n"/>
      <c r="D66" s="106" t="n"/>
      <c r="E66" s="106" t="n"/>
      <c r="F66" s="106" t="n"/>
      <c r="G66" s="106" t="n"/>
      <c r="H66" s="106" t="n"/>
      <c r="I66" s="106" t="n"/>
      <c r="J66" s="106" t="n"/>
    </row>
    <row r="67">
      <c r="A67" s="106" t="n"/>
      <c r="B67" s="106" t="n"/>
      <c r="C67" s="106" t="n"/>
      <c r="D67" s="106" t="n"/>
      <c r="E67" s="106" t="n"/>
      <c r="F67" s="106" t="n"/>
      <c r="G67" s="106" t="n"/>
      <c r="H67" s="106" t="n"/>
      <c r="I67" s="106" t="n"/>
      <c r="J67" s="106" t="n"/>
    </row>
    <row r="68">
      <c r="A68" s="106" t="n"/>
      <c r="B68" s="106" t="n"/>
      <c r="C68" s="106" t="n"/>
      <c r="D68" s="106" t="n"/>
      <c r="E68" s="106" t="n"/>
      <c r="F68" s="106" t="n"/>
      <c r="G68" s="106" t="n"/>
      <c r="H68" s="106" t="n"/>
      <c r="I68" s="106" t="n"/>
      <c r="J68" s="106" t="n"/>
    </row>
    <row r="69">
      <c r="A69" s="106" t="n"/>
      <c r="B69" s="106" t="n"/>
      <c r="C69" s="106" t="n"/>
      <c r="D69" s="106" t="n"/>
      <c r="E69" s="106" t="n"/>
      <c r="F69" s="106" t="n"/>
      <c r="G69" s="106" t="n"/>
      <c r="H69" s="106" t="n"/>
      <c r="I69" s="106" t="n"/>
      <c r="J69" s="106" t="n"/>
    </row>
    <row r="70">
      <c r="A70" s="106" t="n"/>
      <c r="B70" s="106" t="n"/>
      <c r="C70" s="106" t="n"/>
      <c r="D70" s="106" t="n"/>
      <c r="E70" s="106" t="n"/>
      <c r="F70" s="106" t="n"/>
      <c r="G70" s="106" t="n"/>
      <c r="H70" s="106" t="n"/>
      <c r="I70" s="106" t="n"/>
      <c r="J70" s="106" t="n"/>
    </row>
    <row r="71">
      <c r="A71" s="106" t="n"/>
      <c r="B71" s="106" t="n"/>
      <c r="C71" s="106" t="n"/>
      <c r="D71" s="106" t="n"/>
      <c r="E71" s="106" t="n"/>
      <c r="F71" s="106" t="n"/>
      <c r="G71" s="106" t="n"/>
      <c r="H71" s="106" t="n"/>
      <c r="I71" s="106" t="n"/>
      <c r="J71" s="106" t="n"/>
    </row>
    <row r="72">
      <c r="A72" s="106" t="n"/>
      <c r="B72" s="106" t="n"/>
      <c r="C72" s="106" t="n"/>
      <c r="D72" s="106" t="n"/>
      <c r="E72" s="106" t="n"/>
      <c r="F72" s="106" t="n"/>
      <c r="G72" s="106" t="n"/>
      <c r="H72" s="106" t="n"/>
      <c r="I72" s="106" t="n"/>
      <c r="J72" s="106" t="n"/>
    </row>
    <row r="73">
      <c r="A73" s="106" t="n"/>
      <c r="B73" s="106" t="n"/>
      <c r="C73" s="106" t="n"/>
      <c r="D73" s="106" t="n"/>
      <c r="E73" s="106" t="n"/>
      <c r="F73" s="106" t="n"/>
      <c r="G73" s="106" t="n"/>
      <c r="H73" s="106" t="n"/>
      <c r="I73" s="106" t="n"/>
      <c r="J73" s="106" t="n"/>
    </row>
    <row r="74">
      <c r="A74" s="106" t="n"/>
      <c r="B74" s="106" t="n"/>
      <c r="C74" s="106" t="n"/>
      <c r="D74" s="106" t="n"/>
      <c r="E74" s="106" t="n"/>
      <c r="F74" s="106" t="n"/>
      <c r="G74" s="106" t="n"/>
      <c r="H74" s="106" t="n"/>
      <c r="I74" s="106" t="n"/>
      <c r="J74" s="106" t="n"/>
    </row>
    <row r="75">
      <c r="A75" s="106" t="n"/>
      <c r="B75" s="106" t="n"/>
      <c r="C75" s="106" t="n"/>
      <c r="D75" s="106" t="n"/>
      <c r="E75" s="106" t="n"/>
      <c r="F75" s="106" t="n"/>
      <c r="G75" s="106" t="n"/>
      <c r="H75" s="106" t="n"/>
      <c r="I75" s="106" t="n"/>
      <c r="J75" s="106" t="n"/>
    </row>
    <row r="76">
      <c r="A76" s="106" t="n"/>
      <c r="B76" s="106" t="n"/>
      <c r="C76" s="106" t="n"/>
      <c r="D76" s="106" t="n"/>
      <c r="E76" s="106" t="n"/>
      <c r="F76" s="106" t="n"/>
      <c r="G76" s="106" t="n"/>
      <c r="H76" s="106" t="n"/>
      <c r="I76" s="106" t="n"/>
      <c r="J76" s="106" t="n"/>
    </row>
    <row r="77">
      <c r="A77" s="106" t="n"/>
      <c r="B77" s="106" t="n"/>
      <c r="C77" s="106" t="n"/>
      <c r="D77" s="106" t="n"/>
      <c r="E77" s="106" t="n"/>
      <c r="F77" s="106" t="n"/>
      <c r="G77" s="106" t="n"/>
      <c r="H77" s="106" t="n"/>
      <c r="I77" s="106" t="n"/>
      <c r="J77" s="106" t="n"/>
    </row>
    <row r="78">
      <c r="A78" s="106" t="n"/>
      <c r="B78" s="106" t="n"/>
      <c r="C78" s="106" t="n"/>
      <c r="D78" s="106" t="n"/>
      <c r="E78" s="106" t="n"/>
      <c r="F78" s="106" t="n"/>
      <c r="G78" s="106" t="n"/>
      <c r="H78" s="106" t="n"/>
      <c r="I78" s="106" t="n"/>
      <c r="J78" s="106" t="n"/>
    </row>
    <row r="79">
      <c r="A79" s="106" t="n"/>
      <c r="B79" s="106" t="n"/>
      <c r="C79" s="106" t="n"/>
      <c r="D79" s="106" t="n"/>
      <c r="E79" s="106" t="n"/>
      <c r="F79" s="106" t="n"/>
      <c r="G79" s="106" t="n"/>
      <c r="H79" s="106" t="n"/>
      <c r="I79" s="106" t="n"/>
      <c r="J79" s="106" t="n"/>
    </row>
    <row r="80">
      <c r="A80" s="106" t="n"/>
      <c r="B80" s="106" t="n"/>
      <c r="C80" s="106" t="n"/>
      <c r="D80" s="106" t="n"/>
      <c r="E80" s="106" t="n"/>
      <c r="F80" s="106" t="n"/>
      <c r="G80" s="106" t="n"/>
      <c r="H80" s="106" t="n"/>
      <c r="I80" s="106" t="n"/>
      <c r="J80" s="106" t="n"/>
    </row>
    <row r="81">
      <c r="A81" s="106" t="n"/>
      <c r="B81" s="106" t="n"/>
      <c r="C81" s="106" t="n"/>
      <c r="D81" s="106" t="n"/>
      <c r="E81" s="106" t="n"/>
      <c r="F81" s="106" t="n"/>
      <c r="G81" s="106" t="n"/>
      <c r="H81" s="106" t="n"/>
      <c r="I81" s="106" t="n"/>
      <c r="J81" s="106" t="n"/>
    </row>
    <row r="82">
      <c r="A82" s="106" t="n"/>
      <c r="B82" s="106" t="n"/>
      <c r="C82" s="106" t="n"/>
      <c r="D82" s="106" t="n"/>
      <c r="E82" s="106" t="n"/>
      <c r="F82" s="106" t="n"/>
      <c r="G82" s="106" t="n"/>
      <c r="H82" s="106" t="n"/>
      <c r="I82" s="106" t="n"/>
      <c r="J82" s="106" t="n"/>
    </row>
    <row r="83">
      <c r="A83" s="106" t="n"/>
      <c r="B83" s="106" t="n"/>
      <c r="C83" s="106" t="n"/>
      <c r="D83" s="106" t="n"/>
      <c r="E83" s="106" t="n"/>
      <c r="F83" s="106" t="n"/>
      <c r="G83" s="106" t="n"/>
      <c r="H83" s="106" t="n"/>
      <c r="I83" s="106" t="n"/>
      <c r="J83" s="106" t="n"/>
    </row>
    <row r="84">
      <c r="A84" s="106" t="n"/>
      <c r="B84" s="106" t="n"/>
      <c r="C84" s="106" t="n"/>
      <c r="D84" s="106" t="n"/>
      <c r="E84" s="106" t="n"/>
      <c r="F84" s="106" t="n"/>
      <c r="G84" s="106" t="n"/>
      <c r="H84" s="106" t="n"/>
      <c r="I84" s="106" t="n"/>
      <c r="J84" s="106" t="n"/>
    </row>
    <row r="85">
      <c r="A85" s="106" t="n"/>
      <c r="B85" s="106" t="n"/>
      <c r="C85" s="106" t="n"/>
      <c r="D85" s="106" t="n"/>
      <c r="E85" s="106" t="n"/>
      <c r="F85" s="106" t="n"/>
      <c r="G85" s="106" t="n"/>
      <c r="H85" s="106" t="n"/>
      <c r="I85" s="106" t="n"/>
      <c r="J85" s="106" t="n"/>
    </row>
    <row r="86">
      <c r="A86" s="106" t="n"/>
      <c r="B86" s="106" t="n"/>
      <c r="C86" s="106" t="n"/>
      <c r="D86" s="106" t="n"/>
      <c r="E86" s="106" t="n"/>
      <c r="F86" s="106" t="n"/>
      <c r="G86" s="106" t="n"/>
      <c r="H86" s="106" t="n"/>
      <c r="I86" s="106" t="n"/>
      <c r="J86" s="106" t="n"/>
    </row>
    <row r="87">
      <c r="A87" s="106" t="n"/>
      <c r="B87" s="106" t="n"/>
      <c r="C87" s="106" t="n"/>
      <c r="D87" s="106" t="n"/>
      <c r="E87" s="106" t="n"/>
      <c r="F87" s="106" t="n"/>
      <c r="G87" s="106" t="n"/>
      <c r="H87" s="106" t="n"/>
      <c r="I87" s="106" t="n"/>
      <c r="J87" s="106" t="n"/>
    </row>
    <row r="88">
      <c r="A88" s="106" t="n"/>
      <c r="B88" s="106" t="n"/>
      <c r="C88" s="106" t="n"/>
      <c r="D88" s="106" t="n"/>
      <c r="E88" s="106" t="n"/>
      <c r="F88" s="106" t="n"/>
      <c r="G88" s="106" t="n"/>
      <c r="H88" s="106" t="n"/>
      <c r="I88" s="106" t="n"/>
      <c r="J88" s="106" t="n"/>
    </row>
    <row r="89">
      <c r="A89" s="106" t="n"/>
      <c r="B89" s="106" t="n"/>
      <c r="C89" s="106" t="n"/>
      <c r="D89" s="106" t="n"/>
      <c r="E89" s="106" t="n"/>
      <c r="F89" s="106" t="n"/>
      <c r="G89" s="106" t="n"/>
      <c r="H89" s="106" t="n"/>
      <c r="I89" s="106" t="n"/>
      <c r="J89" s="106" t="n"/>
    </row>
    <row r="90">
      <c r="A90" s="106" t="n"/>
      <c r="B90" s="106" t="n"/>
      <c r="C90" s="106" t="n"/>
      <c r="D90" s="106" t="n"/>
      <c r="E90" s="106" t="n"/>
      <c r="F90" s="106" t="n"/>
      <c r="G90" s="106" t="n"/>
      <c r="H90" s="106" t="n"/>
      <c r="I90" s="106" t="n"/>
      <c r="J90" s="106" t="n"/>
    </row>
    <row r="91">
      <c r="A91" s="106" t="n"/>
      <c r="B91" s="106" t="n"/>
      <c r="C91" s="106" t="n"/>
      <c r="D91" s="106" t="n"/>
      <c r="E91" s="106" t="n"/>
      <c r="F91" s="106" t="n"/>
      <c r="G91" s="106" t="n"/>
      <c r="H91" s="106" t="n"/>
      <c r="I91" s="106" t="n"/>
      <c r="J91" s="106" t="n"/>
    </row>
    <row r="92">
      <c r="A92" s="106" t="n"/>
      <c r="B92" s="106" t="n"/>
      <c r="C92" s="106" t="n"/>
      <c r="D92" s="106" t="n"/>
      <c r="E92" s="106" t="n"/>
      <c r="F92" s="106" t="n"/>
      <c r="G92" s="106" t="n"/>
      <c r="H92" s="106" t="n"/>
      <c r="I92" s="106" t="n"/>
      <c r="J92" s="106" t="n"/>
    </row>
    <row r="93">
      <c r="A93" s="106" t="n"/>
      <c r="B93" s="106" t="n"/>
      <c r="C93" s="106" t="n"/>
      <c r="D93" s="106" t="n"/>
      <c r="E93" s="106" t="n"/>
      <c r="F93" s="106" t="n"/>
      <c r="G93" s="106" t="n"/>
      <c r="H93" s="106" t="n"/>
      <c r="I93" s="106" t="n"/>
      <c r="J93" s="106" t="n"/>
    </row>
    <row r="94">
      <c r="A94" s="106" t="n"/>
      <c r="B94" s="106" t="n"/>
      <c r="C94" s="106" t="n"/>
      <c r="D94" s="106" t="n"/>
      <c r="E94" s="106" t="n"/>
      <c r="F94" s="106" t="n"/>
      <c r="G94" s="106" t="n"/>
      <c r="H94" s="106" t="n"/>
      <c r="I94" s="106" t="n"/>
      <c r="J94" s="106" t="n"/>
    </row>
    <row r="95">
      <c r="A95" s="106" t="n"/>
      <c r="B95" s="106" t="n"/>
      <c r="C95" s="106" t="n"/>
      <c r="D95" s="106" t="n"/>
      <c r="E95" s="106" t="n"/>
      <c r="F95" s="106" t="n"/>
      <c r="G95" s="106" t="n"/>
      <c r="H95" s="106" t="n"/>
      <c r="I95" s="106" t="n"/>
      <c r="J95" s="106" t="n"/>
    </row>
    <row r="96">
      <c r="A96" s="106" t="n"/>
      <c r="B96" s="106" t="n"/>
      <c r="C96" s="106" t="n"/>
      <c r="D96" s="106" t="n"/>
      <c r="E96" s="106" t="n"/>
      <c r="F96" s="106" t="n"/>
      <c r="G96" s="106" t="n"/>
      <c r="H96" s="106" t="n"/>
      <c r="I96" s="106" t="n"/>
      <c r="J96" s="106" t="n"/>
    </row>
    <row r="97">
      <c r="A97" s="106" t="n"/>
      <c r="B97" s="106" t="n"/>
      <c r="C97" s="106" t="n"/>
      <c r="D97" s="106" t="n"/>
      <c r="E97" s="106" t="n"/>
      <c r="F97" s="106" t="n"/>
      <c r="G97" s="106" t="n"/>
      <c r="H97" s="106" t="n"/>
      <c r="I97" s="106" t="n"/>
      <c r="J97" s="106" t="n"/>
    </row>
    <row r="98">
      <c r="A98" s="106" t="n"/>
      <c r="B98" s="106" t="n"/>
      <c r="C98" s="106" t="n"/>
      <c r="D98" s="106" t="n"/>
      <c r="E98" s="106" t="n"/>
      <c r="F98" s="106" t="n"/>
      <c r="G98" s="106" t="n"/>
      <c r="H98" s="106" t="n"/>
      <c r="I98" s="106" t="n"/>
      <c r="J98" s="106" t="n"/>
    </row>
    <row r="99">
      <c r="A99" s="106" t="n"/>
      <c r="B99" s="106" t="n"/>
      <c r="C99" s="106" t="n"/>
      <c r="D99" s="106" t="n"/>
      <c r="E99" s="106" t="n"/>
      <c r="F99" s="106" t="n"/>
      <c r="G99" s="106" t="n"/>
      <c r="H99" s="106" t="n"/>
      <c r="I99" s="106" t="n"/>
      <c r="J99" s="106" t="n"/>
    </row>
    <row r="100">
      <c r="A100" s="106" t="n"/>
      <c r="B100" s="106" t="n"/>
      <c r="C100" s="106" t="n"/>
      <c r="D100" s="106" t="n"/>
      <c r="E100" s="106" t="n"/>
      <c r="F100" s="106" t="n"/>
      <c r="G100" s="106" t="n"/>
      <c r="H100" s="106" t="n"/>
      <c r="I100" s="106" t="n"/>
      <c r="J100" s="106" t="n"/>
    </row>
  </sheetData>
  <mergeCells count="1">
    <mergeCell ref="A1:P1"/>
  </mergeCells>
  <conditionalFormatting sqref="B6:P6 B12:P12">
    <cfRule type="cellIs" rank="0" priority="2" equalAverage="0" operator="equal" aboveAverage="0" dxfId="0" text="" percent="0" bottom="0">
      <formula>101</formula>
    </cfRule>
    <cfRule type="cellIs" rank="0" priority="3" equalAverage="0" operator="equal" aboveAverage="0" dxfId="1" text="" percent="0" bottom="0">
      <formula>102</formula>
    </cfRule>
    <cfRule type="cellIs" rank="0" priority="4" equalAverage="0" operator="equal" aboveAverage="0" dxfId="2" text="" percent="0" bottom="0">
      <formula>111</formula>
    </cfRule>
    <cfRule type="cellIs" rank="0" priority="5" equalAverage="0" operator="equal" aboveAverage="0" dxfId="3" text="" percent="0" bottom="0">
      <formula>112</formula>
    </cfRule>
    <cfRule type="cellIs" rank="0" priority="6" equalAverage="0" operator="equal" aboveAverage="0" dxfId="4" text="" percent="0" bottom="0">
      <formula>121</formula>
    </cfRule>
    <cfRule type="cellIs" rank="0" priority="7" equalAverage="0" operator="equal" aboveAverage="0" dxfId="0" text="" percent="0" bottom="0">
      <formula>6101</formula>
    </cfRule>
    <cfRule type="cellIs" rank="0" priority="8" equalAverage="0" operator="equal" aboveAverage="0" dxfId="1" text="" percent="0" bottom="0">
      <formula>6102</formula>
    </cfRule>
    <cfRule type="cellIs" rank="0" priority="9" equalAverage="0" operator="equal" aboveAverage="0" dxfId="2" text="" percent="0" bottom="0">
      <formula>6111</formula>
    </cfRule>
    <cfRule type="cellIs" rank="0" priority="10" equalAverage="0" operator="equal" aboveAverage="0" dxfId="3" text="" percent="0" bottom="0">
      <formula>6112</formula>
    </cfRule>
    <cfRule type="cellIs" rank="0" priority="11" equalAverage="0" operator="equal" aboveAverage="0" dxfId="4" text="" percent="0" bottom="0">
      <formula>6121</formula>
    </cfRule>
    <cfRule type="cellIs" rank="0" priority="12" equalAverage="0" operator="equal" aboveAverage="0" dxfId="0" text="" percent="0" bottom="0">
      <formula>7101</formula>
    </cfRule>
    <cfRule type="cellIs" rank="0" priority="13" equalAverage="0" operator="equal" aboveAverage="0" dxfId="1" text="" percent="0" bottom="0">
      <formula>7102</formula>
    </cfRule>
    <cfRule type="cellIs" rank="0" priority="14" equalAverage="0" operator="equal" aboveAverage="0" dxfId="2" text="" percent="0" bottom="0">
      <formula>7111</formula>
    </cfRule>
    <cfRule type="cellIs" rank="0" priority="15" equalAverage="0" operator="equal" aboveAverage="0" dxfId="3" text="" percent="0" bottom="0">
      <formula>7112</formula>
    </cfRule>
    <cfRule type="cellIs" rank="0" priority="16" equalAverage="0" operator="equal" aboveAverage="0" dxfId="4" text="" percent="0" bottom="0">
      <formula>7121</formula>
    </cfRule>
    <cfRule type="cellIs" rank="0" priority="17" equalAverage="0" operator="equal" aboveAverage="0" dxfId="5" text="" percent="0" bottom="0">
      <formula>"X_AM"</formula>
    </cfRule>
    <cfRule type="cellIs" rank="0" priority="18" equalAverage="0" operator="equal" aboveAverage="0" dxfId="5" text="" percent="0" bottom="0">
      <formula>"X_PM"</formula>
    </cfRule>
    <cfRule type="cellIs" rank="0" priority="19" equalAverage="0" operator="equal" aboveAverage="0" dxfId="6" text="" percent="0" bottom="0">
      <formula>"X_10"</formula>
    </cfRule>
    <cfRule type="cellIs" rank="0" priority="20" equalAverage="0" operator="equal" aboveAverage="0" dxfId="7" text="" percent="0" bottom="0">
      <formula>"CN"</formula>
    </cfRule>
    <cfRule type="cellIs" rank="0" priority="21" equalAverage="0" operator="equal" aboveAverage="0" dxfId="7" text="" percent="0" bottom="0">
      <formula>"JC"</formula>
    </cfRule>
    <cfRule type="cellIs" rank="0" priority="22" equalAverage="0" operator="equal" aboveAverage="0" dxfId="8" text="" percent="0" bottom="0">
      <formula>"RH"</formula>
    </cfRule>
    <cfRule type="cellIs" rank="0" priority="23" equalAverage="0" operator="equal" aboveAverage="0" dxfId="9" text="" percent="0" bottom="0">
      <formula>"CH"</formula>
    </cfRule>
    <cfRule type="cellIs" rank="0" priority="24" equalAverage="0" operator="equal" aboveAverage="0" dxfId="10" text="" percent="0" bottom="0">
      <formula>"RR"</formula>
    </cfRule>
    <cfRule type="cellIs" rank="0" priority="25" equalAverage="0" operator="equal" aboveAverage="0" dxfId="11" text="" percent="0" bottom="0">
      <formula>"ZM"</formula>
    </cfRule>
  </conditionalFormatting>
  <conditionalFormatting sqref="B56 B57">
    <cfRule type="cellIs" rank="0" priority="26" equalAverage="0" operator="greaterThan" aboveAverage="0" dxfId="12" text="" percent="0" bottom="0">
      <formula>160</formula>
    </cfRule>
  </conditionalFormatting>
  <conditionalFormatting sqref="B6:Q6">
    <cfRule type="cellIs" priority="26" operator="equal" dxfId="13">
      <formula>"CV"</formula>
    </cfRule>
    <cfRule type="cellIs" priority="27" operator="equal" dxfId="14">
      <formula>"AG"</formula>
    </cfRule>
  </conditionalFormatting>
  <conditionalFormatting sqref="B12:Q12">
    <cfRule type="cellIs" priority="28" operator="equal" dxfId="13">
      <formula>"CV"</formula>
    </cfRule>
    <cfRule type="cellIs" priority="29" operator="equal" dxfId="14">
      <formula>"AG"</formula>
    </cfRule>
  </conditionalFormatting>
  <conditionalFormatting sqref="B55">
    <cfRule type="cellIs" priority="30" operator="greaterThan" dxfId="15">
      <formula>160</formula>
    </cfRule>
  </conditionalFormatting>
  <conditionalFormatting sqref="C55">
    <cfRule type="cellIs" priority="31" operator="notEqual" dxfId="16">
      <formula>4</formula>
    </cfRule>
  </conditionalFormatting>
  <conditionalFormatting sqref="D55">
    <cfRule type="cellIs" priority="32" operator="notEqual" dxfId="16">
      <formula>4</formula>
    </cfRule>
  </conditionalFormatting>
  <conditionalFormatting sqref="E55">
    <cfRule type="cellIs" priority="33" operator="notEqual" dxfId="16">
      <formula>1</formula>
    </cfRule>
  </conditionalFormatting>
  <conditionalFormatting sqref="H55">
    <cfRule type="cellIs" priority="34" operator="equal" dxfId="17">
      <formula>"✓ OK"</formula>
    </cfRule>
    <cfRule type="cellIs" priority="35" operator="notEqual" dxfId="15">
      <formula>"✓ OK"</formula>
    </cfRule>
  </conditionalFormatting>
  <conditionalFormatting sqref="B56">
    <cfRule type="cellIs" priority="36" operator="greaterThan" dxfId="15">
      <formula>160</formula>
    </cfRule>
  </conditionalFormatting>
  <conditionalFormatting sqref="C56">
    <cfRule type="cellIs" priority="37" operator="notEqual" dxfId="16">
      <formula>4</formula>
    </cfRule>
  </conditionalFormatting>
  <conditionalFormatting sqref="D56">
    <cfRule type="cellIs" priority="38" operator="notEqual" dxfId="16">
      <formula>4</formula>
    </cfRule>
  </conditionalFormatting>
  <conditionalFormatting sqref="E56">
    <cfRule type="cellIs" priority="39" operator="notEqual" dxfId="16">
      <formula>1</formula>
    </cfRule>
  </conditionalFormatting>
  <conditionalFormatting sqref="H56">
    <cfRule type="cellIs" priority="40" operator="equal" dxfId="17">
      <formula>"✓ OK"</formula>
    </cfRule>
    <cfRule type="cellIs" priority="41" operator="notEqual" dxfId="15">
      <formula>"✓ OK"</formula>
    </cfRule>
  </conditionalFormatting>
  <dataValidations count="1">
    <dataValidation sqref="B6:Q6 B12:Q12" showDropDown="0" showInputMessage="0" showErrorMessage="0" allowBlank="1" type="list">
      <formula1>"101,102,111,112,121,6101,6102,6111,6112,6121,7101,7102,7111,7112,7121,X_AM,X_PM,X_10,AG,CN,JC,RH,CH,RR,CV,ZM"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Q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L48:L49 A1"/>
    </sheetView>
  </sheetViews>
  <sheetFormatPr baseColWidth="8" defaultColWidth="8.6796875" defaultRowHeight="15" customHeight="0" zeroHeight="0" outlineLevelRow="0"/>
  <cols>
    <col width="45" customWidth="1" style="66" min="1" max="1"/>
    <col width="10" customWidth="1" style="66" min="2" max="17"/>
  </cols>
  <sheetData>
    <row r="1" ht="24.75" customHeight="1" s="67">
      <c r="A1" s="107" t="inlineStr">
        <is>
          <t>DÉCEMBRE 2026</t>
        </is>
      </c>
      <c r="Q1" s="69" t="n"/>
    </row>
    <row r="2" ht="15" customHeight="1" s="67">
      <c r="A2" s="69" t="n"/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</row>
    <row r="3" ht="15" customHeight="1" s="67">
      <c r="A3" s="108" t="inlineStr">
        <is>
          <t>Jours 1-15</t>
        </is>
      </c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</row>
    <row r="4" ht="18" customHeight="1" s="67">
      <c r="A4" s="76" t="inlineStr">
        <is>
          <t>Jour</t>
        </is>
      </c>
      <c r="B4" s="110" t="n">
        <v>1</v>
      </c>
      <c r="C4" s="110" t="n">
        <v>2</v>
      </c>
      <c r="D4" s="110" t="n">
        <v>3</v>
      </c>
      <c r="E4" s="110" t="n">
        <v>4</v>
      </c>
      <c r="F4" s="111" t="n">
        <v>5</v>
      </c>
      <c r="G4" s="111" t="n">
        <v>6</v>
      </c>
      <c r="H4" s="110" t="n">
        <v>7</v>
      </c>
      <c r="I4" s="110" t="n">
        <v>8</v>
      </c>
      <c r="J4" s="110" t="n">
        <v>9</v>
      </c>
      <c r="K4" s="110" t="n">
        <v>10</v>
      </c>
      <c r="L4" s="110" t="n">
        <v>11</v>
      </c>
      <c r="M4" s="111" t="n">
        <v>12</v>
      </c>
      <c r="N4" s="112" t="n">
        <v>13</v>
      </c>
      <c r="O4" s="112" t="n">
        <v>14</v>
      </c>
      <c r="P4" s="110" t="n">
        <v>15</v>
      </c>
      <c r="Q4" s="69" t="n"/>
    </row>
    <row r="5" ht="18" customHeight="1" s="67">
      <c r="A5" s="76" t="inlineStr">
        <is>
          <t>J.sem</t>
        </is>
      </c>
      <c r="B5" s="110" t="inlineStr">
        <is>
          <t>M</t>
        </is>
      </c>
      <c r="C5" s="110" t="inlineStr">
        <is>
          <t>M</t>
        </is>
      </c>
      <c r="D5" s="110" t="inlineStr">
        <is>
          <t>J</t>
        </is>
      </c>
      <c r="E5" s="110" t="inlineStr">
        <is>
          <t>V</t>
        </is>
      </c>
      <c r="F5" s="111" t="inlineStr">
        <is>
          <t>S</t>
        </is>
      </c>
      <c r="G5" s="111" t="inlineStr">
        <is>
          <t>D</t>
        </is>
      </c>
      <c r="H5" s="110" t="inlineStr">
        <is>
          <t>L</t>
        </is>
      </c>
      <c r="I5" s="110" t="inlineStr">
        <is>
          <t>M</t>
        </is>
      </c>
      <c r="J5" s="110" t="inlineStr">
        <is>
          <t>M</t>
        </is>
      </c>
      <c r="K5" s="110" t="inlineStr">
        <is>
          <t>J</t>
        </is>
      </c>
      <c r="L5" s="110" t="inlineStr">
        <is>
          <t>V</t>
        </is>
      </c>
      <c r="M5" s="111" t="inlineStr">
        <is>
          <t>S</t>
        </is>
      </c>
      <c r="N5" s="112" t="inlineStr">
        <is>
          <t>D</t>
        </is>
      </c>
      <c r="O5" s="112" t="inlineStr">
        <is>
          <t>L</t>
        </is>
      </c>
      <c r="P5" s="110" t="inlineStr">
        <is>
          <t>M</t>
        </is>
      </c>
      <c r="Q5" s="69" t="n"/>
    </row>
    <row r="6" ht="24.75" customHeight="1" s="67">
      <c r="A6" s="76" t="inlineStr">
        <is>
          <t>Code</t>
        </is>
      </c>
      <c r="B6" s="114" t="n"/>
      <c r="C6" s="114" t="n"/>
      <c r="D6" s="114" t="n"/>
      <c r="E6" s="114" t="n"/>
      <c r="F6" s="114" t="n"/>
      <c r="G6" s="114" t="n"/>
      <c r="H6" s="114" t="n"/>
      <c r="I6" s="114" t="n"/>
      <c r="J6" s="114" t="n"/>
      <c r="K6" s="114" t="n"/>
      <c r="L6" s="114" t="n"/>
      <c r="M6" s="114" t="n"/>
      <c r="N6" s="139" t="n"/>
      <c r="O6" s="115" t="n"/>
      <c r="P6" s="114" t="n"/>
      <c r="Q6" s="69" t="n"/>
    </row>
    <row r="7" ht="15" customHeight="1" s="67">
      <c r="A7" s="76" t="inlineStr">
        <is>
          <t>Période</t>
        </is>
      </c>
      <c r="B7" s="118" t="inlineStr">
        <is>
          <t>P12</t>
        </is>
      </c>
      <c r="C7" s="118" t="inlineStr">
        <is>
          <t>P12</t>
        </is>
      </c>
      <c r="D7" s="118" t="inlineStr">
        <is>
          <t>P12</t>
        </is>
      </c>
      <c r="E7" s="118" t="inlineStr">
        <is>
          <t>P12</t>
        </is>
      </c>
      <c r="F7" s="118" t="inlineStr">
        <is>
          <t>P12</t>
        </is>
      </c>
      <c r="G7" s="118" t="inlineStr">
        <is>
          <t>P12</t>
        </is>
      </c>
      <c r="H7" s="118" t="inlineStr">
        <is>
          <t>P12</t>
        </is>
      </c>
      <c r="I7" s="118" t="inlineStr">
        <is>
          <t>P12</t>
        </is>
      </c>
      <c r="J7" s="118" t="inlineStr">
        <is>
          <t>P12</t>
        </is>
      </c>
      <c r="K7" s="118" t="inlineStr">
        <is>
          <t>P12</t>
        </is>
      </c>
      <c r="L7" s="118" t="inlineStr">
        <is>
          <t>P12</t>
        </is>
      </c>
      <c r="M7" s="118" t="inlineStr">
        <is>
          <t>P12</t>
        </is>
      </c>
      <c r="N7" s="117" t="inlineStr">
        <is>
          <t>P12</t>
        </is>
      </c>
      <c r="O7" s="117" t="inlineStr">
        <is>
          <t>P13</t>
        </is>
      </c>
      <c r="P7" s="118" t="inlineStr">
        <is>
          <t>P13</t>
        </is>
      </c>
      <c r="Q7" s="69" t="n"/>
    </row>
    <row r="8" ht="15" customHeight="1" s="67">
      <c r="A8" s="69" t="n"/>
      <c r="B8" s="69" t="n"/>
      <c r="C8" s="69" t="n"/>
      <c r="D8" s="69" t="n"/>
      <c r="E8" s="69" t="n"/>
      <c r="F8" s="69" t="n"/>
      <c r="G8" s="69" t="n"/>
      <c r="H8" s="69" t="n"/>
      <c r="I8" s="69" t="n"/>
      <c r="J8" s="69" t="n"/>
      <c r="K8" s="69" t="n"/>
      <c r="L8" s="69" t="n"/>
      <c r="M8" s="69" t="n"/>
      <c r="N8" s="69" t="n"/>
      <c r="O8" s="69" t="n"/>
      <c r="P8" s="69" t="n"/>
      <c r="Q8" s="69" t="n"/>
    </row>
    <row r="9" ht="15" customHeight="1" s="67">
      <c r="A9" s="108" t="inlineStr">
        <is>
          <t>Jours 16-31</t>
        </is>
      </c>
      <c r="B9" s="69" t="n"/>
      <c r="C9" s="69" t="n"/>
      <c r="D9" s="69" t="n"/>
      <c r="E9" s="69" t="n"/>
      <c r="F9" s="69" t="n"/>
      <c r="G9" s="69" t="n"/>
      <c r="H9" s="69" t="n"/>
      <c r="I9" s="69" t="n"/>
      <c r="J9" s="69" t="n"/>
      <c r="K9" s="69" t="n"/>
      <c r="L9" s="69" t="n"/>
      <c r="M9" s="69" t="n"/>
      <c r="N9" s="69" t="n"/>
      <c r="O9" s="69" t="n"/>
      <c r="P9" s="69" t="n"/>
      <c r="Q9" s="69" t="n"/>
    </row>
    <row r="10" ht="18" customHeight="1" s="67">
      <c r="A10" s="76" t="inlineStr">
        <is>
          <t>Jour</t>
        </is>
      </c>
      <c r="B10" s="110" t="n">
        <v>16</v>
      </c>
      <c r="C10" s="110" t="n">
        <v>17</v>
      </c>
      <c r="D10" s="110" t="n">
        <v>18</v>
      </c>
      <c r="E10" s="111" t="n">
        <v>19</v>
      </c>
      <c r="F10" s="111" t="n">
        <v>20</v>
      </c>
      <c r="G10" s="110" t="n">
        <v>21</v>
      </c>
      <c r="H10" s="110" t="n">
        <v>22</v>
      </c>
      <c r="I10" s="110" t="n">
        <v>23</v>
      </c>
      <c r="J10" s="110" t="n">
        <v>24</v>
      </c>
      <c r="K10" s="109" t="n">
        <v>25</v>
      </c>
      <c r="L10" s="111" t="n">
        <v>26</v>
      </c>
      <c r="M10" s="111" t="n">
        <v>27</v>
      </c>
      <c r="N10" s="110" t="n">
        <v>28</v>
      </c>
      <c r="O10" s="119" t="n">
        <v>29</v>
      </c>
      <c r="P10" s="119" t="n">
        <v>30</v>
      </c>
      <c r="Q10" s="119" t="n">
        <v>31</v>
      </c>
    </row>
    <row r="11" ht="18" customHeight="1" s="67">
      <c r="A11" s="76" t="inlineStr">
        <is>
          <t>J.sem</t>
        </is>
      </c>
      <c r="B11" s="110" t="inlineStr">
        <is>
          <t>M</t>
        </is>
      </c>
      <c r="C11" s="110" t="inlineStr">
        <is>
          <t>J</t>
        </is>
      </c>
      <c r="D11" s="110" t="inlineStr">
        <is>
          <t>V</t>
        </is>
      </c>
      <c r="E11" s="111" t="inlineStr">
        <is>
          <t>S</t>
        </is>
      </c>
      <c r="F11" s="111" t="inlineStr">
        <is>
          <t>D</t>
        </is>
      </c>
      <c r="G11" s="110" t="inlineStr">
        <is>
          <t>L</t>
        </is>
      </c>
      <c r="H11" s="110" t="inlineStr">
        <is>
          <t>M</t>
        </is>
      </c>
      <c r="I11" s="110" t="inlineStr">
        <is>
          <t>M</t>
        </is>
      </c>
      <c r="J11" s="110" t="inlineStr">
        <is>
          <t>J</t>
        </is>
      </c>
      <c r="K11" s="113" t="inlineStr">
        <is>
          <t>V</t>
        </is>
      </c>
      <c r="L11" s="111" t="inlineStr">
        <is>
          <t>S</t>
        </is>
      </c>
      <c r="M11" s="111" t="inlineStr">
        <is>
          <t>D</t>
        </is>
      </c>
      <c r="N11" s="110" t="inlineStr">
        <is>
          <t>L</t>
        </is>
      </c>
      <c r="O11" s="119" t="inlineStr">
        <is>
          <t>M</t>
        </is>
      </c>
      <c r="P11" s="119" t="inlineStr">
        <is>
          <t>M</t>
        </is>
      </c>
      <c r="Q11" s="119" t="inlineStr">
        <is>
          <t>J</t>
        </is>
      </c>
    </row>
    <row r="12" ht="24.75" customHeight="1" s="67">
      <c r="A12" s="76" t="inlineStr">
        <is>
          <t>Code</t>
        </is>
      </c>
      <c r="B12" s="114" t="n"/>
      <c r="C12" s="114" t="n"/>
      <c r="D12" s="114" t="n"/>
      <c r="E12" s="114" t="n"/>
      <c r="F12" s="114" t="n"/>
      <c r="G12" s="114" t="n"/>
      <c r="H12" s="114" t="n"/>
      <c r="I12" s="114" t="n"/>
      <c r="J12" s="114" t="n"/>
      <c r="K12" s="114" t="n"/>
      <c r="L12" s="114" t="n"/>
      <c r="M12" s="114" t="n"/>
      <c r="N12" s="114" t="n"/>
      <c r="O12" s="114" t="n"/>
      <c r="P12" s="114" t="n"/>
      <c r="Q12" s="114" t="n"/>
    </row>
    <row r="13" ht="15" customHeight="1" s="67">
      <c r="A13" s="76" t="inlineStr">
        <is>
          <t>Période</t>
        </is>
      </c>
      <c r="B13" s="118" t="inlineStr">
        <is>
          <t>P13</t>
        </is>
      </c>
      <c r="C13" s="118" t="inlineStr">
        <is>
          <t>P13</t>
        </is>
      </c>
      <c r="D13" s="118" t="inlineStr">
        <is>
          <t>P13</t>
        </is>
      </c>
      <c r="E13" s="118" t="inlineStr">
        <is>
          <t>P13</t>
        </is>
      </c>
      <c r="F13" s="118" t="inlineStr">
        <is>
          <t>P13</t>
        </is>
      </c>
      <c r="G13" s="118" t="inlineStr">
        <is>
          <t>P13</t>
        </is>
      </c>
      <c r="H13" s="118" t="inlineStr">
        <is>
          <t>P13</t>
        </is>
      </c>
      <c r="I13" s="118" t="inlineStr">
        <is>
          <t>P13</t>
        </is>
      </c>
      <c r="J13" s="118" t="inlineStr">
        <is>
          <t>P13</t>
        </is>
      </c>
      <c r="K13" s="118" t="inlineStr">
        <is>
          <t>P13</t>
        </is>
      </c>
      <c r="L13" s="118" t="inlineStr">
        <is>
          <t>P13</t>
        </is>
      </c>
      <c r="M13" s="118" t="inlineStr">
        <is>
          <t>P13</t>
        </is>
      </c>
      <c r="N13" s="118" t="inlineStr">
        <is>
          <t>P13</t>
        </is>
      </c>
      <c r="O13" s="118" t="inlineStr">
        <is>
          <t>P13</t>
        </is>
      </c>
      <c r="P13" s="118" t="inlineStr">
        <is>
          <t>P13</t>
        </is>
      </c>
      <c r="Q13" s="118" t="inlineStr">
        <is>
          <t>P13</t>
        </is>
      </c>
    </row>
    <row r="16" ht="15" customHeight="1" s="67">
      <c r="A16" s="104" t="inlineStr">
        <is>
          <t>Prestations</t>
        </is>
      </c>
      <c r="B16" s="104" t="inlineStr">
        <is>
          <t>Jours</t>
        </is>
      </c>
      <c r="C16" s="104" t="inlineStr">
        <is>
          <t>H. Totales</t>
        </is>
      </c>
      <c r="D16" s="104" t="inlineStr">
        <is>
          <t>H. Nuit</t>
        </is>
      </c>
      <c r="E16" s="104" t="inlineStr">
        <is>
          <t>Couleur</t>
        </is>
      </c>
      <c r="F16" s="106" t="n"/>
      <c r="G16" s="106" t="n"/>
      <c r="H16" s="106" t="n"/>
      <c r="I16" s="106" t="n"/>
      <c r="J16" s="106" t="n"/>
    </row>
    <row r="17">
      <c r="A17" s="105" t="inlineStr">
        <is>
          <t>101</t>
        </is>
      </c>
      <c r="B17" s="105">
        <f>COUNTIF(B6:P6,"101")+COUNTIF(B12:R12,"101")</f>
        <v/>
      </c>
      <c r="C17" s="105">
        <f>B17*8</f>
        <v/>
      </c>
      <c r="D17" s="105">
        <f>B17*2</f>
        <v/>
      </c>
      <c r="E17" s="121" t="n"/>
      <c r="F17" s="106" t="n"/>
      <c r="G17" s="106" t="n"/>
      <c r="H17" s="106" t="n"/>
      <c r="I17" s="106" t="n"/>
      <c r="J17" s="106" t="n"/>
    </row>
    <row r="18" ht="15" customHeight="1" s="67">
      <c r="A18" s="105" t="inlineStr">
        <is>
          <t>102</t>
        </is>
      </c>
      <c r="B18" s="105">
        <f>COUNTIF(B6:P6,"102")+COUNTIF(B12:R12,"102")</f>
        <v/>
      </c>
      <c r="C18" s="105">
        <f>B18*8</f>
        <v/>
      </c>
      <c r="D18" s="105">
        <f>B18*2</f>
        <v/>
      </c>
      <c r="E18" s="122" t="n"/>
      <c r="F18" s="106" t="n"/>
      <c r="G18" s="106" t="n"/>
      <c r="H18" s="106" t="n"/>
      <c r="I18" s="106" t="n"/>
      <c r="J18" s="106" t="n"/>
    </row>
    <row r="19" ht="15" customHeight="1" s="67">
      <c r="A19" s="105" t="inlineStr">
        <is>
          <t>111</t>
        </is>
      </c>
      <c r="B19" s="105">
        <f>COUNTIF(B6:P6,"111")+COUNTIF(B12:R12,"111")</f>
        <v/>
      </c>
      <c r="C19" s="105">
        <f>B19*8</f>
        <v/>
      </c>
      <c r="D19" s="105">
        <f>B19*2</f>
        <v/>
      </c>
      <c r="E19" s="123" t="n"/>
      <c r="F19" s="106" t="n"/>
      <c r="G19" s="106" t="n"/>
      <c r="H19" s="106" t="n"/>
      <c r="I19" s="106" t="n"/>
      <c r="J19" s="106" t="n"/>
    </row>
    <row r="20" ht="15" customHeight="1" s="67">
      <c r="A20" s="105" t="inlineStr">
        <is>
          <t>112</t>
        </is>
      </c>
      <c r="B20" s="105">
        <f>COUNTIF(B6:P6,"112")+COUNTIF(B12:R12,"112")</f>
        <v/>
      </c>
      <c r="C20" s="105">
        <f>B20*8</f>
        <v/>
      </c>
      <c r="D20" s="105">
        <f>B20*2</f>
        <v/>
      </c>
      <c r="E20" s="124" t="n"/>
      <c r="F20" s="106" t="n"/>
      <c r="G20" s="106" t="n"/>
      <c r="H20" s="106" t="n"/>
      <c r="I20" s="106" t="n"/>
      <c r="J20" s="106" t="n"/>
    </row>
    <row r="21" ht="15" customHeight="1" s="67">
      <c r="A21" s="105" t="inlineStr">
        <is>
          <t>121</t>
        </is>
      </c>
      <c r="B21" s="105">
        <f>COUNTIF(B6:P6,"121")+COUNTIF(B12:R12,"121")</f>
        <v/>
      </c>
      <c r="C21" s="105">
        <f>B21*8</f>
        <v/>
      </c>
      <c r="D21" s="105">
        <f>B21*8</f>
        <v/>
      </c>
      <c r="E21" s="125" t="n"/>
      <c r="F21" s="106" t="n"/>
      <c r="G21" s="106" t="n"/>
      <c r="H21" s="106" t="n"/>
      <c r="I21" s="106" t="n"/>
      <c r="J21" s="106" t="n"/>
    </row>
    <row r="22" ht="15" customHeight="1" s="67">
      <c r="A22" s="105" t="inlineStr">
        <is>
          <t>6101</t>
        </is>
      </c>
      <c r="B22" s="105">
        <f>COUNTIF(B6:P6,"6101")+COUNTIF(B12:R12,"6101")</f>
        <v/>
      </c>
      <c r="C22" s="105">
        <f>B22*8</f>
        <v/>
      </c>
      <c r="D22" s="105">
        <f>B22*2</f>
        <v/>
      </c>
      <c r="E22" s="121" t="n"/>
      <c r="F22" s="106" t="n"/>
      <c r="G22" s="106" t="n"/>
      <c r="H22" s="106" t="n"/>
      <c r="I22" s="106" t="n"/>
      <c r="J22" s="106" t="n"/>
    </row>
    <row r="23" ht="15" customHeight="1" s="67">
      <c r="A23" s="105" t="inlineStr">
        <is>
          <t>6102</t>
        </is>
      </c>
      <c r="B23" s="105">
        <f>COUNTIF(B6:P6,"6102")+COUNTIF(B12:R12,"6102")</f>
        <v/>
      </c>
      <c r="C23" s="105">
        <f>B23*8</f>
        <v/>
      </c>
      <c r="D23" s="105">
        <f>B23*2</f>
        <v/>
      </c>
      <c r="E23" s="122" t="n"/>
      <c r="F23" s="106" t="n"/>
      <c r="G23" s="106" t="n"/>
      <c r="H23" s="106" t="n"/>
      <c r="I23" s="106" t="n"/>
      <c r="J23" s="106" t="n"/>
    </row>
    <row r="24" ht="15" customHeight="1" s="67">
      <c r="A24" s="105" t="inlineStr">
        <is>
          <t>6111</t>
        </is>
      </c>
      <c r="B24" s="105">
        <f>COUNTIF(B6:P6,"6111")+COUNTIF(B12:R12,"6111")</f>
        <v/>
      </c>
      <c r="C24" s="105">
        <f>B24*8</f>
        <v/>
      </c>
      <c r="D24" s="105">
        <f>B24*2</f>
        <v/>
      </c>
      <c r="E24" s="123" t="n"/>
      <c r="F24" s="106" t="n"/>
      <c r="G24" s="106" t="n"/>
      <c r="H24" s="106" t="n"/>
      <c r="I24" s="106" t="n"/>
      <c r="J24" s="106" t="n"/>
    </row>
    <row r="25" ht="15" customHeight="1" s="67">
      <c r="A25" s="105" t="inlineStr">
        <is>
          <t>6112</t>
        </is>
      </c>
      <c r="B25" s="105">
        <f>COUNTIF(B6:P6,"6112")+COUNTIF(B12:R12,"6112")</f>
        <v/>
      </c>
      <c r="C25" s="105">
        <f>B25*8</f>
        <v/>
      </c>
      <c r="D25" s="105">
        <f>B25*2</f>
        <v/>
      </c>
      <c r="E25" s="124" t="n"/>
      <c r="F25" s="106" t="n"/>
      <c r="G25" s="106" t="n"/>
      <c r="H25" s="106" t="n"/>
      <c r="I25" s="106" t="n"/>
      <c r="J25" s="106" t="n"/>
    </row>
    <row r="26" ht="15" customHeight="1" s="67">
      <c r="A26" s="105" t="inlineStr">
        <is>
          <t>6121</t>
        </is>
      </c>
      <c r="B26" s="105">
        <f>COUNTIF(B6:P6,"6121")+COUNTIF(B12:R12,"6121")</f>
        <v/>
      </c>
      <c r="C26" s="105">
        <f>B26*8</f>
        <v/>
      </c>
      <c r="D26" s="105">
        <f>B26*8</f>
        <v/>
      </c>
      <c r="E26" s="125" t="n"/>
      <c r="F26" s="106" t="n"/>
      <c r="G26" s="106" t="n"/>
      <c r="H26" s="106" t="n"/>
      <c r="I26" s="106" t="n"/>
      <c r="J26" s="106" t="n"/>
    </row>
    <row r="27" ht="15" customHeight="1" s="67">
      <c r="A27" s="105" t="inlineStr">
        <is>
          <t>7101</t>
        </is>
      </c>
      <c r="B27" s="105">
        <f>COUNTIF(B6:P6,"7101")+COUNTIF(B12:R12,"7101")</f>
        <v/>
      </c>
      <c r="C27" s="105">
        <f>B27*8</f>
        <v/>
      </c>
      <c r="D27" s="105">
        <f>B27*2</f>
        <v/>
      </c>
      <c r="E27" s="121" t="n"/>
      <c r="F27" s="106" t="n"/>
      <c r="G27" s="106" t="n"/>
      <c r="H27" s="106" t="n"/>
      <c r="I27" s="106" t="n"/>
      <c r="J27" s="106" t="n"/>
    </row>
    <row r="28" ht="15" customHeight="1" s="67">
      <c r="A28" s="105" t="inlineStr">
        <is>
          <t>7102</t>
        </is>
      </c>
      <c r="B28" s="105">
        <f>COUNTIF(B6:P6,"7102")+COUNTIF(B12:R12,"7102")</f>
        <v/>
      </c>
      <c r="C28" s="105">
        <f>B28*8</f>
        <v/>
      </c>
      <c r="D28" s="105">
        <f>B28*2</f>
        <v/>
      </c>
      <c r="E28" s="122" t="n"/>
      <c r="F28" s="106" t="n"/>
      <c r="G28" s="106" t="n"/>
      <c r="H28" s="106" t="n"/>
      <c r="I28" s="106" t="n"/>
      <c r="J28" s="106" t="n"/>
    </row>
    <row r="29" ht="15" customHeight="1" s="67">
      <c r="A29" s="105" t="inlineStr">
        <is>
          <t>7111</t>
        </is>
      </c>
      <c r="B29" s="105">
        <f>COUNTIF(B6:P6,"7111")+COUNTIF(B12:R12,"7111")</f>
        <v/>
      </c>
      <c r="C29" s="105">
        <f>B29*8</f>
        <v/>
      </c>
      <c r="D29" s="105">
        <f>B29*2</f>
        <v/>
      </c>
      <c r="E29" s="123" t="n"/>
      <c r="F29" s="106" t="n"/>
      <c r="G29" s="106" t="n"/>
      <c r="H29" s="106" t="n"/>
      <c r="I29" s="106" t="n"/>
      <c r="J29" s="106" t="n"/>
    </row>
    <row r="30" ht="15" customHeight="1" s="67">
      <c r="A30" s="105" t="inlineStr">
        <is>
          <t>7112</t>
        </is>
      </c>
      <c r="B30" s="105">
        <f>COUNTIF(B6:P6,"7112")+COUNTIF(B12:R12,"7112")</f>
        <v/>
      </c>
      <c r="C30" s="105">
        <f>B30*8</f>
        <v/>
      </c>
      <c r="D30" s="105">
        <f>B30*2</f>
        <v/>
      </c>
      <c r="E30" s="124" t="n"/>
      <c r="F30" s="106" t="n"/>
      <c r="G30" s="106" t="n"/>
      <c r="H30" s="106" t="n"/>
      <c r="I30" s="106" t="n"/>
      <c r="J30" s="106" t="n"/>
    </row>
    <row r="31" ht="15" customHeight="1" s="67">
      <c r="A31" s="105" t="inlineStr">
        <is>
          <t>7121</t>
        </is>
      </c>
      <c r="B31" s="105">
        <f>COUNTIF(B6:P6,"7121")+COUNTIF(B12:R12,"7121")</f>
        <v/>
      </c>
      <c r="C31" s="105">
        <f>B31*8</f>
        <v/>
      </c>
      <c r="D31" s="105">
        <f>B31*8</f>
        <v/>
      </c>
      <c r="E31" s="125" t="n"/>
      <c r="F31" s="106" t="n"/>
      <c r="G31" s="106" t="n"/>
      <c r="H31" s="106" t="n"/>
      <c r="I31" s="106" t="n"/>
      <c r="J31" s="106" t="n"/>
    </row>
    <row r="32" ht="15" customHeight="1" s="67">
      <c r="A32" s="105" t="inlineStr">
        <is>
          <t>X_AM</t>
        </is>
      </c>
      <c r="B32" s="105">
        <f>COUNTIF(B6:P6,"X_AM")+COUNTIF(B12:R12,"X_AM")</f>
        <v/>
      </c>
      <c r="C32" s="105">
        <f>B32*8</f>
        <v/>
      </c>
      <c r="D32" s="105">
        <f>B32*2</f>
        <v/>
      </c>
      <c r="E32" s="126" t="n"/>
      <c r="F32" s="106" t="n"/>
      <c r="G32" s="106" t="n"/>
      <c r="H32" s="106" t="n"/>
      <c r="I32" s="106" t="n"/>
      <c r="J32" s="106" t="n"/>
    </row>
    <row r="33" ht="15" customHeight="1" s="67">
      <c r="A33" s="105" t="inlineStr">
        <is>
          <t>X_PM</t>
        </is>
      </c>
      <c r="B33" s="105">
        <f>COUNTIF(B6:P6,"X_PM")+COUNTIF(B12:R12,"X_PM")</f>
        <v/>
      </c>
      <c r="C33" s="105">
        <f>B33*8</f>
        <v/>
      </c>
      <c r="D33" s="105">
        <f>B33*2</f>
        <v/>
      </c>
      <c r="E33" s="126" t="n"/>
      <c r="F33" s="106" t="n"/>
      <c r="G33" s="106" t="n"/>
      <c r="H33" s="106" t="n"/>
      <c r="I33" s="106" t="n"/>
      <c r="J33" s="106" t="n"/>
    </row>
    <row r="34" ht="15" customHeight="1" s="67">
      <c r="A34" s="105" t="inlineStr">
        <is>
          <t>X_10</t>
        </is>
      </c>
      <c r="B34" s="105">
        <f>COUNTIF(B6:P6,"X_10")+COUNTIF(B12:R12,"X_10")</f>
        <v/>
      </c>
      <c r="C34" s="105">
        <f>B34*8</f>
        <v/>
      </c>
      <c r="D34" s="105" t="n">
        <v>0</v>
      </c>
      <c r="E34" s="127" t="n"/>
      <c r="F34" s="106" t="n"/>
      <c r="G34" s="106" t="n"/>
      <c r="H34" s="106" t="n"/>
      <c r="I34" s="106" t="n"/>
      <c r="J34" s="106" t="n"/>
    </row>
    <row r="35" ht="15" customHeight="1" s="67">
      <c r="A35" s="105" t="inlineStr">
        <is>
          <t>AG</t>
        </is>
      </c>
      <c r="B35" s="105">
        <f>COUNTIF(B6:P6,"AG")+COUNTIF(B12:R12,"AG")</f>
        <v/>
      </c>
      <c r="C35" s="105">
        <f>B35*8</f>
        <v/>
      </c>
      <c r="D35" s="105" t="n">
        <v>0</v>
      </c>
      <c r="E35" s="128" t="n"/>
      <c r="F35" s="106" t="n"/>
      <c r="G35" s="106" t="n"/>
      <c r="H35" s="106" t="n"/>
      <c r="I35" s="106" t="n"/>
      <c r="J35" s="106" t="n"/>
    </row>
    <row r="36" ht="15" customHeight="1" s="67">
      <c r="A36" s="129" t="inlineStr">
        <is>
          <t>TOTAL</t>
        </is>
      </c>
      <c r="B36" s="129">
        <f>SUM(B17:B35)</f>
        <v/>
      </c>
      <c r="C36" s="129">
        <f>SUM(C17:C35)</f>
        <v/>
      </c>
      <c r="D36" s="129">
        <f>SUM(D17:D35)</f>
        <v/>
      </c>
      <c r="E36" s="129" t="n"/>
      <c r="F36" s="106" t="n"/>
      <c r="G36" s="106" t="n"/>
      <c r="H36" s="106" t="n"/>
      <c r="I36" s="106" t="n"/>
      <c r="J36" s="106" t="n"/>
    </row>
    <row r="37" ht="15" customHeight="1" s="67">
      <c r="A37" s="130" t="n"/>
      <c r="B37" s="130" t="n"/>
      <c r="C37" s="130" t="n"/>
      <c r="D37" s="130" t="n"/>
      <c r="E37" s="130" t="n"/>
      <c r="F37" s="106" t="n"/>
      <c r="G37" s="106" t="n"/>
      <c r="H37" s="106" t="n"/>
      <c r="I37" s="106" t="n"/>
      <c r="J37" s="106" t="n"/>
    </row>
    <row r="38" ht="15" customHeight="1" s="67">
      <c r="A38" s="104" t="inlineStr">
        <is>
          <t>REPOS</t>
        </is>
      </c>
      <c r="B38" s="104" t="inlineStr">
        <is>
          <t>Jours</t>
        </is>
      </c>
      <c r="C38" s="104" t="inlineStr">
        <is>
          <t>H. Totales</t>
        </is>
      </c>
      <c r="D38" s="104" t="inlineStr">
        <is>
          <t>H. Nuit</t>
        </is>
      </c>
      <c r="E38" s="104" t="inlineStr">
        <is>
          <t>Couleur</t>
        </is>
      </c>
      <c r="F38" s="106" t="n"/>
      <c r="G38" s="106" t="n"/>
      <c r="H38" s="106" t="n"/>
      <c r="I38" s="106" t="n"/>
      <c r="J38" s="106" t="n"/>
    </row>
    <row r="39" ht="15" customHeight="1" s="67">
      <c r="A39" s="105" t="inlineStr">
        <is>
          <t>CN</t>
        </is>
      </c>
      <c r="B39" s="105">
        <f>COUNTIF(B6:P6,"CN")+COUNTIF(B12:R12,"CN")</f>
        <v/>
      </c>
      <c r="C39" s="105">
        <f>B39*8</f>
        <v/>
      </c>
      <c r="D39" s="105" t="n">
        <v>0</v>
      </c>
      <c r="E39" s="131" t="n"/>
      <c r="F39" s="106" t="n"/>
      <c r="G39" s="106" t="n"/>
      <c r="H39" s="106" t="n"/>
      <c r="I39" s="106" t="n"/>
      <c r="J39" s="106" t="n"/>
    </row>
    <row r="40" ht="15" customHeight="1" s="67">
      <c r="A40" s="105" t="inlineStr">
        <is>
          <t>JC</t>
        </is>
      </c>
      <c r="B40" s="105">
        <f>COUNTIF(B6:P6,"JC")+COUNTIF(B12:R12,"JC")</f>
        <v/>
      </c>
      <c r="C40" s="105">
        <f>B40*8</f>
        <v/>
      </c>
      <c r="D40" s="105" t="n">
        <v>0</v>
      </c>
      <c r="E40" s="131" t="n"/>
      <c r="F40" s="106" t="n"/>
      <c r="G40" s="106" t="n"/>
      <c r="H40" s="106" t="n"/>
      <c r="I40" s="106" t="n"/>
      <c r="J40" s="106" t="n"/>
    </row>
    <row r="41" ht="15" customHeight="1" s="67">
      <c r="A41" s="105" t="inlineStr">
        <is>
          <t>RH</t>
        </is>
      </c>
      <c r="B41" s="105">
        <f>COUNTIF(B6:P6,"RH")+COUNTIF(B12:R12,"RH")</f>
        <v/>
      </c>
      <c r="C41" s="105" t="n">
        <v>0</v>
      </c>
      <c r="D41" s="105" t="n">
        <v>0</v>
      </c>
      <c r="E41" s="132" t="n"/>
      <c r="F41" s="106" t="n"/>
      <c r="G41" s="106" t="n"/>
      <c r="H41" s="106" t="n"/>
      <c r="I41" s="106" t="n"/>
      <c r="J41" s="106" t="n"/>
    </row>
    <row r="42" ht="15" customHeight="1" s="67">
      <c r="A42" s="105" t="inlineStr">
        <is>
          <t>CH</t>
        </is>
      </c>
      <c r="B42" s="105">
        <f>COUNTIF(B6:P6,"CH")+COUNTIF(B12:R12,"CH")</f>
        <v/>
      </c>
      <c r="C42" s="105" t="n">
        <v>0</v>
      </c>
      <c r="D42" s="105" t="n">
        <v>0</v>
      </c>
      <c r="E42" s="133" t="n"/>
      <c r="F42" s="106" t="n"/>
      <c r="G42" s="106" t="n"/>
      <c r="H42" s="106" t="n"/>
      <c r="I42" s="106" t="n"/>
      <c r="J42" s="106" t="n"/>
    </row>
    <row r="43" ht="15" customHeight="1" s="67">
      <c r="A43" s="105" t="inlineStr">
        <is>
          <t>RR</t>
        </is>
      </c>
      <c r="B43" s="105">
        <f>COUNTIF(B6:P6,"RR")+COUNTIF(B12:R12,"RR")</f>
        <v/>
      </c>
      <c r="C43" s="105">
        <f>B43*8</f>
        <v/>
      </c>
      <c r="D43" s="105" t="n">
        <v>0</v>
      </c>
      <c r="E43" s="134" t="n"/>
      <c r="F43" s="106" t="n"/>
      <c r="G43" s="106" t="n"/>
      <c r="H43" s="106" t="n"/>
      <c r="I43" s="106" t="n"/>
      <c r="J43" s="106" t="n"/>
    </row>
    <row r="44">
      <c r="A44" s="105" t="inlineStr">
        <is>
          <t>CV</t>
        </is>
      </c>
      <c r="B44" s="105">
        <f>COUNTIF(B6:P6,"CV")+COUNTIF(B12:R12,"CV")</f>
        <v/>
      </c>
      <c r="C44" s="105">
        <f>B44*8</f>
        <v/>
      </c>
      <c r="D44" s="105" t="n">
        <v>0</v>
      </c>
      <c r="E44" s="135" t="n"/>
      <c r="F44" s="106" t="n"/>
      <c r="G44" s="106" t="n"/>
      <c r="H44" s="106" t="n"/>
      <c r="I44" s="106" t="n"/>
      <c r="J44" s="106" t="n"/>
    </row>
    <row r="45" ht="15" customHeight="1" s="67">
      <c r="A45" s="105" t="inlineStr">
        <is>
          <t>ZM</t>
        </is>
      </c>
      <c r="B45" s="105">
        <f>COUNTIF(B6:P6,"ZM")+COUNTIF(B12:R12,"ZM")</f>
        <v/>
      </c>
      <c r="C45" s="105">
        <f>B45*8</f>
        <v/>
      </c>
      <c r="D45" s="105" t="n">
        <v>0</v>
      </c>
      <c r="E45" s="136" t="n"/>
      <c r="F45" s="106" t="n"/>
      <c r="G45" s="106" t="n"/>
      <c r="H45" s="106" t="n"/>
      <c r="I45" s="106" t="n"/>
      <c r="J45" s="106" t="n"/>
    </row>
    <row r="46">
      <c r="A46" s="129" t="inlineStr">
        <is>
          <t>TOTAL</t>
        </is>
      </c>
      <c r="B46" s="129">
        <f>SUM(B39:B45)</f>
        <v/>
      </c>
      <c r="C46" s="129">
        <f>SUM(C39:C45)</f>
        <v/>
      </c>
      <c r="D46" s="129">
        <f>SUM(D39:D45)</f>
        <v/>
      </c>
      <c r="E46" s="129" t="n"/>
      <c r="F46" s="106" t="n"/>
      <c r="G46" s="106" t="n"/>
      <c r="H46" s="106" t="n"/>
      <c r="I46" s="106" t="n"/>
      <c r="J46" s="106" t="n"/>
    </row>
    <row r="47" ht="15" customHeight="1" s="67">
      <c r="A47" s="130" t="n"/>
      <c r="B47" s="130" t="n"/>
      <c r="C47" s="130" t="n"/>
      <c r="D47" s="130" t="n"/>
      <c r="E47" s="106" t="n"/>
      <c r="F47" s="106" t="n"/>
      <c r="G47" s="106" t="n"/>
      <c r="H47" s="106" t="n"/>
      <c r="I47" s="106" t="n"/>
      <c r="J47" s="106" t="n"/>
    </row>
    <row r="48" ht="15" customHeight="1" s="67">
      <c r="A48" s="137" t="inlineStr">
        <is>
          <t>Total Heures</t>
        </is>
      </c>
      <c r="B48" s="130" t="n"/>
      <c r="C48" s="137">
        <f>C36+C46</f>
        <v/>
      </c>
      <c r="D48" s="130" t="n"/>
      <c r="E48" s="106" t="n"/>
      <c r="F48" s="106" t="n"/>
      <c r="G48" s="106" t="n"/>
      <c r="H48" s="106" t="n"/>
      <c r="I48" s="106" t="n"/>
      <c r="J48" s="106" t="n"/>
    </row>
    <row r="49" ht="15" customHeight="1" s="67">
      <c r="A49" s="130" t="n"/>
      <c r="B49" s="130" t="n"/>
      <c r="C49" s="130" t="n"/>
      <c r="D49" s="130" t="n"/>
      <c r="E49" s="106" t="n"/>
      <c r="F49" s="106" t="n"/>
      <c r="G49" s="106" t="n"/>
      <c r="H49" s="106" t="n"/>
      <c r="I49" s="106" t="n"/>
      <c r="J49" s="106" t="n"/>
    </row>
    <row r="50" ht="15" customHeight="1" s="67">
      <c r="A50" s="130" t="n"/>
      <c r="B50" s="130" t="n"/>
      <c r="C50" s="130" t="n"/>
      <c r="D50" s="130" t="n"/>
      <c r="E50" s="106" t="n"/>
      <c r="F50" s="106" t="n"/>
      <c r="G50" s="106" t="n"/>
      <c r="H50" s="106" t="n"/>
      <c r="I50" s="106" t="n"/>
      <c r="J50" s="106" t="n"/>
    </row>
    <row r="51" ht="15" customHeight="1" s="67">
      <c r="A51" s="130" t="n"/>
      <c r="B51" s="130" t="n"/>
      <c r="C51" s="130" t="n"/>
      <c r="D51" s="130" t="n"/>
      <c r="E51" s="106" t="n"/>
      <c r="F51" s="106" t="n"/>
      <c r="G51" s="106" t="n"/>
      <c r="H51" s="106" t="n"/>
      <c r="I51" s="106" t="n"/>
      <c r="J51" s="106" t="n"/>
    </row>
    <row r="52">
      <c r="A52" s="138" t="inlineStr">
        <is>
          <t>CONTRÔLES PAR PÉRIODE - DÉCEMBRE</t>
        </is>
      </c>
      <c r="B52" s="106" t="n"/>
      <c r="C52" s="106" t="n"/>
      <c r="D52" s="106" t="n"/>
      <c r="E52" s="106" t="n"/>
      <c r="F52" s="106" t="n"/>
      <c r="G52" s="106" t="n"/>
      <c r="H52" s="106" t="n"/>
      <c r="I52" s="106" t="n"/>
      <c r="J52" s="106" t="n"/>
    </row>
    <row r="53" ht="15" customHeight="1" s="67">
      <c r="A53" s="130" t="n"/>
      <c r="B53" s="106" t="n"/>
      <c r="C53" s="106" t="n"/>
      <c r="D53" s="106" t="n"/>
      <c r="E53" s="106" t="n"/>
      <c r="F53" s="106" t="n"/>
      <c r="G53" s="106" t="n"/>
      <c r="H53" s="106" t="n"/>
      <c r="I53" s="106" t="n"/>
      <c r="J53" s="106" t="n"/>
    </row>
    <row r="54">
      <c r="A54" s="104" t="inlineStr">
        <is>
          <t>Période</t>
        </is>
      </c>
      <c r="B54" s="104" t="inlineStr">
        <is>
          <t>Heures</t>
        </is>
      </c>
      <c r="C54" s="104" t="inlineStr">
        <is>
          <t>CH</t>
        </is>
      </c>
      <c r="D54" s="104" t="inlineStr">
        <is>
          <t>RH</t>
        </is>
      </c>
      <c r="E54" s="104" t="inlineStr">
        <is>
          <t>CV</t>
        </is>
      </c>
      <c r="F54" s="104" t="inlineStr">
        <is>
          <t>RR</t>
        </is>
      </c>
      <c r="G54" s="104" t="inlineStr">
        <is>
          <t>Férié Trav.</t>
        </is>
      </c>
      <c r="H54" s="104" t="inlineStr">
        <is>
          <t>Statut</t>
        </is>
      </c>
      <c r="I54" s="106" t="n"/>
      <c r="J54" s="106" t="n"/>
    </row>
    <row r="55" ht="15" customHeight="1" s="67">
      <c r="A55" s="105" t="inlineStr">
        <is>
          <t>P12</t>
        </is>
      </c>
      <c r="B55" s="105">
        <f>(COUNTIF('Novembre'!B12:P12,"101") + COUNTIF('Décembre'!B6:N6,"101") + COUNTIF('Novembre'!B12:P12,"102") + COUNTIF('Décembre'!B6:N6,"102") + COUNTIF('Novembre'!B12:P12,"111") + COUNTIF('Décembre'!B6:N6,"111") + COUNTIF('Novembre'!B12:P12,"112") + COUNTIF('Décembre'!B6:N6,"112") + COUNTIF('Novembre'!B12:P12,"121") + COUNTIF('Décembre'!B6:N6,"121") + COUNTIF('Novembre'!B12:P12,"6101") + COUNTIF('Décembre'!B6:N6,"6101") + COUNTIF('Novembre'!B12:P12,"6102") + COUNTIF('Décembre'!B6:N6,"6102") + COUNTIF('Novembre'!B12:P12,"6111") + COUNTIF('Décembre'!B6:N6,"6111") + COUNTIF('Novembre'!B12:P12,"6112") + COUNTIF('Décembre'!B6:N6,"6112") + COUNTIF('Novembre'!B12:P12,"6121") + COUNTIF('Décembre'!B6:N6,"6121") + COUNTIF('Novembre'!B12:P12,"7101") + COUNTIF('Décembre'!B6:N6,"7101") + COUNTIF('Novembre'!B12:P12,"7102") + COUNTIF('Décembre'!B6:N6,"7102") + COUNTIF('Novembre'!B12:P12,"7111") + COUNTIF('Décembre'!B6:N6,"7111") + COUNTIF('Novembre'!B12:P12,"7112") + COUNTIF('Décembre'!B6:N6,"7112") + COUNTIF('Novembre'!B12:P12,"7121") + COUNTIF('Décembre'!B6:N6,"7121") + COUNTIF('Novembre'!B12:P12,"X_AM") + COUNTIF('Décembre'!B6:N6,"X_AM") + COUNTIF('Novembre'!B12:P12,"X_PM") + COUNTIF('Décembre'!B6:N6,"X_PM") + COUNTIF('Novembre'!B12:P12,"X_10") + COUNTIF('Décembre'!B6:N6,"X_10") + COUNTIF('Novembre'!B12:P12,"AG") + COUNTIF('Décembre'!B6:N6,"AG") + COUNTIF('Novembre'!B12:P12,"CN") + COUNTIF('Décembre'!B6:N6,"CN") + COUNTIF('Novembre'!B12:P12,"JC") + COUNTIF('Décembre'!B6:N6,"JC") + COUNTIF('Novembre'!B12:P12,"RR") + COUNTIF('Décembre'!B6:N6,"RR") + COUNTIF('Novembre'!B12:P12,"ZM") + COUNTIF('Décembre'!B6:N6,"ZM") + COUNTIF('Novembre'!B12:P12,"CV") + COUNTIF('Décembre'!B6:N6,"CV"))*8</f>
        <v/>
      </c>
      <c r="C55" s="105">
        <f>COUNTIF('Novembre'!B12:P12,"CH")+COUNTIF('Décembre'!B6:N6,"CH")</f>
        <v/>
      </c>
      <c r="D55" s="105">
        <f>COUNTIF('Novembre'!B12:P12,"RH")+COUNTIF('Décembre'!B6:N6,"RH")</f>
        <v/>
      </c>
      <c r="E55" s="105">
        <f>COUNTIF('Novembre'!B12:P12,"CV")+COUNTIF('Décembre'!B6:N6,"CV")</f>
        <v/>
      </c>
      <c r="F55" s="105">
        <f>COUNTIF('Novembre'!B12:P12,"RR")+COUNTIF('Décembre'!B6:N6,"RR")</f>
        <v/>
      </c>
      <c r="G55" s="105" t="n">
        <v>0</v>
      </c>
      <c r="H55" s="105">
        <f>IF(B55&gt;160,"⚠ &gt;160h",IF(C55&lt;&gt;4,"⚠ CH≠4",IF(D55&lt;&gt;4,"⚠ RH≠4",IF(E55&lt;&gt;1,"⚠ CV≠1",IF(AND(G55&gt;0,F55=0),"⚠ RR manquant","✓ OK")))))</f>
        <v/>
      </c>
      <c r="I55" s="106" t="n"/>
      <c r="J55" s="106" t="n"/>
    </row>
    <row r="56" ht="15" customHeight="1" s="67">
      <c r="A56" s="105" t="inlineStr">
        <is>
          <t>P13</t>
        </is>
      </c>
      <c r="B56" s="105">
        <f>(COUNTIF('Décembre'!O6:P6,"101") + COUNTIF('Décembre'!B12:Q12,"101") + COUNTIF('Janvier'!B6:K6,"101") + COUNTIF('Décembre'!O6:P6,"102") + COUNTIF('Décembre'!B12:Q12,"102") + COUNTIF('Janvier'!B6:K6,"102") + COUNTIF('Décembre'!O6:P6,"111") + COUNTIF('Décembre'!B12:Q12,"111") + COUNTIF('Janvier'!B6:K6,"111") + COUNTIF('Décembre'!O6:P6,"112") + COUNTIF('Décembre'!B12:Q12,"112") + COUNTIF('Janvier'!B6:K6,"112") + COUNTIF('Décembre'!O6:P6,"121") + COUNTIF('Décembre'!B12:Q12,"121") + COUNTIF('Janvier'!B6:K6,"121") + COUNTIF('Décembre'!O6:P6,"6101") + COUNTIF('Décembre'!B12:Q12,"6101") + COUNTIF('Janvier'!B6:K6,"6101") + COUNTIF('Décembre'!O6:P6,"6102") + COUNTIF('Décembre'!B12:Q12,"6102") + COUNTIF('Janvier'!B6:K6,"6102") + COUNTIF('Décembre'!O6:P6,"6111") + COUNTIF('Décembre'!B12:Q12,"6111") + COUNTIF('Janvier'!B6:K6,"6111") + COUNTIF('Décembre'!O6:P6,"6112") + COUNTIF('Décembre'!B12:Q12,"6112") + COUNTIF('Janvier'!B6:K6,"6112") + COUNTIF('Décembre'!O6:P6,"6121") + COUNTIF('Décembre'!B12:Q12,"6121") + COUNTIF('Janvier'!B6:K6,"6121") + COUNTIF('Décembre'!O6:P6,"7101") + COUNTIF('Décembre'!B12:Q12,"7101") + COUNTIF('Janvier'!B6:K6,"7101") + COUNTIF('Décembre'!O6:P6,"7102") + COUNTIF('Décembre'!B12:Q12,"7102") + COUNTIF('Janvier'!B6:K6,"7102") + COUNTIF('Décembre'!O6:P6,"7111") + COUNTIF('Décembre'!B12:Q12,"7111") + COUNTIF('Janvier'!B6:K6,"7111") + COUNTIF('Décembre'!O6:P6,"7112") + COUNTIF('Décembre'!B12:Q12,"7112") + COUNTIF('Janvier'!B6:K6,"7112") + COUNTIF('Décembre'!O6:P6,"7121") + COUNTIF('Décembre'!B12:Q12,"7121") + COUNTIF('Janvier'!B6:K6,"7121") + COUNTIF('Décembre'!O6:P6,"X_AM") + COUNTIF('Décembre'!B12:Q12,"X_AM") + COUNTIF('Janvier'!B6:K6,"X_AM") + COUNTIF('Décembre'!O6:P6,"X_PM") + COUNTIF('Décembre'!B12:Q12,"X_PM") + COUNTIF('Janvier'!B6:K6,"X_PM") + COUNTIF('Décembre'!O6:P6,"X_10") + COUNTIF('Décembre'!B12:Q12,"X_10") + COUNTIF('Janvier'!B6:K6,"X_10") + COUNTIF('Décembre'!O6:P6,"AG") + COUNTIF('Décembre'!B12:Q12,"AG") + COUNTIF('Janvier'!B6:K6,"AG") + COUNTIF('Décembre'!O6:P6,"CN") + COUNTIF('Décembre'!B12:Q12,"CN") + COUNTIF('Janvier'!B6:K6,"CN") + COUNTIF('Décembre'!O6:P6,"JC") + COUNTIF('Décembre'!B12:Q12,"JC") + COUNTIF('Janvier'!B6:K6,"JC") + COUNTIF('Décembre'!O6:P6,"RR") + COUNTIF('Décembre'!B12:Q12,"RR") + COUNTIF('Janvier'!B6:K6,"RR") + COUNTIF('Décembre'!O6:P6,"ZM") + COUNTIF('Décembre'!B12:Q12,"ZM") + COUNTIF('Janvier'!B6:K6,"ZM") + COUNTIF('Décembre'!O6:P6,"CV") + COUNTIF('Décembre'!B12:Q12,"CV") + COUNTIF('Janvier'!B6:K6,"CV"))*8</f>
        <v/>
      </c>
      <c r="C56" s="105">
        <f>COUNTIF('Décembre'!O6:P6,"CH")+COUNTIF('Décembre'!B12:Q12,"CH")+COUNTIF('Janvier'!B6:K6,"CH")</f>
        <v/>
      </c>
      <c r="D56" s="105">
        <f>COUNTIF('Décembre'!O6:P6,"RH")+COUNTIF('Décembre'!B12:Q12,"RH")+COUNTIF('Janvier'!B6:K6,"RH")</f>
        <v/>
      </c>
      <c r="E56" s="105">
        <f>COUNTIF('Décembre'!O6:P6,"CV")+COUNTIF('Décembre'!B12:Q12,"CV")+COUNTIF('Janvier'!B6:K6,"CV")</f>
        <v/>
      </c>
      <c r="F56" s="105">
        <f>COUNTIF('Décembre'!O6:P6,"RR")+COUNTIF('Décembre'!B12:Q12,"RR")+COUNTIF('Janvier'!B6:K6,"RR")</f>
        <v/>
      </c>
      <c r="G56" s="105">
        <f>SUM(COUNTIF('Décembre'!K12,{7101,7102,7111,7112,7121}))+SUM(COUNTIF('Janvier'!B6,{7101,7102,7111,7112,7121}))</f>
        <v/>
      </c>
      <c r="H56" s="105">
        <f>IF(B56&gt;160,"⚠ &gt;160h",IF(C56&lt;&gt;4,"⚠ CH≠4",IF(D56&lt;&gt;4,"⚠ RH≠4",IF(E56&lt;&gt;1,"⚠ CV≠1",IF(AND(G56&gt;0,F56=0),"⚠ RR manquant","✓ OK")))))</f>
        <v/>
      </c>
      <c r="I56" s="106" t="n"/>
      <c r="J56" s="106" t="n"/>
    </row>
    <row r="57" ht="15" customHeight="1" s="67">
      <c r="A57" s="130" t="n"/>
      <c r="B57" s="130" t="n"/>
      <c r="C57" s="130" t="n"/>
      <c r="D57" s="130" t="n"/>
      <c r="E57" s="106" t="n"/>
      <c r="F57" s="106" t="n"/>
      <c r="G57" s="106" t="n"/>
      <c r="H57" s="106" t="n"/>
      <c r="I57" s="106" t="n"/>
      <c r="J57" s="106" t="n"/>
    </row>
    <row r="58">
      <c r="A58" s="106" t="n"/>
      <c r="B58" s="106" t="n"/>
      <c r="C58" s="106" t="n"/>
      <c r="D58" s="106" t="n"/>
      <c r="E58" s="106" t="n"/>
      <c r="F58" s="106" t="n"/>
      <c r="G58" s="106" t="n"/>
      <c r="H58" s="106" t="n"/>
      <c r="I58" s="106" t="n"/>
      <c r="J58" s="106" t="n"/>
    </row>
    <row r="59">
      <c r="A59" s="106" t="n"/>
      <c r="B59" s="106" t="n"/>
      <c r="C59" s="106" t="n"/>
      <c r="D59" s="106" t="n"/>
      <c r="E59" s="106" t="n"/>
      <c r="F59" s="106" t="n"/>
      <c r="G59" s="106" t="n"/>
      <c r="H59" s="106" t="n"/>
      <c r="I59" s="106" t="n"/>
      <c r="J59" s="106" t="n"/>
    </row>
    <row r="60">
      <c r="A60" s="106" t="n"/>
      <c r="B60" s="106" t="n"/>
      <c r="C60" s="106" t="n"/>
      <c r="D60" s="106" t="n"/>
      <c r="E60" s="106" t="n"/>
      <c r="F60" s="106" t="n"/>
      <c r="G60" s="106" t="n"/>
      <c r="H60" s="106" t="n"/>
      <c r="I60" s="106" t="n"/>
      <c r="J60" s="106" t="n"/>
    </row>
    <row r="61">
      <c r="A61" s="106" t="n"/>
      <c r="B61" s="106" t="n"/>
      <c r="C61" s="106" t="n"/>
      <c r="D61" s="106" t="n"/>
      <c r="E61" s="106" t="n"/>
      <c r="F61" s="106" t="n"/>
      <c r="G61" s="106" t="n"/>
      <c r="H61" s="106" t="n"/>
      <c r="I61" s="106" t="n"/>
      <c r="J61" s="106" t="n"/>
    </row>
    <row r="62">
      <c r="A62" s="106" t="n"/>
      <c r="B62" s="106" t="n"/>
      <c r="C62" s="106" t="n"/>
      <c r="D62" s="106" t="n"/>
      <c r="E62" s="106" t="n"/>
      <c r="F62" s="106" t="n"/>
      <c r="G62" s="106" t="n"/>
      <c r="H62" s="106" t="n"/>
      <c r="I62" s="106" t="n"/>
      <c r="J62" s="106" t="n"/>
    </row>
    <row r="63">
      <c r="A63" s="106" t="n"/>
      <c r="B63" s="106" t="n"/>
      <c r="C63" s="106" t="n"/>
      <c r="D63" s="106" t="n"/>
      <c r="E63" s="106" t="n"/>
      <c r="F63" s="106" t="n"/>
      <c r="G63" s="106" t="n"/>
      <c r="H63" s="106" t="n"/>
      <c r="I63" s="106" t="n"/>
      <c r="J63" s="106" t="n"/>
    </row>
    <row r="64">
      <c r="A64" s="106" t="n"/>
      <c r="B64" s="106" t="n"/>
      <c r="C64" s="106" t="n"/>
      <c r="D64" s="106" t="n"/>
      <c r="E64" s="106" t="n"/>
      <c r="F64" s="106" t="n"/>
      <c r="G64" s="106" t="n"/>
      <c r="H64" s="106" t="n"/>
      <c r="I64" s="106" t="n"/>
      <c r="J64" s="106" t="n"/>
    </row>
    <row r="65">
      <c r="A65" s="106" t="n"/>
      <c r="B65" s="106" t="n"/>
      <c r="C65" s="106" t="n"/>
      <c r="D65" s="106" t="n"/>
      <c r="E65" s="106" t="n"/>
      <c r="F65" s="106" t="n"/>
      <c r="G65" s="106" t="n"/>
      <c r="H65" s="106" t="n"/>
      <c r="I65" s="106" t="n"/>
      <c r="J65" s="106" t="n"/>
    </row>
    <row r="66">
      <c r="A66" s="106" t="n"/>
      <c r="B66" s="106" t="n"/>
      <c r="C66" s="106" t="n"/>
      <c r="D66" s="106" t="n"/>
      <c r="E66" s="106" t="n"/>
      <c r="F66" s="106" t="n"/>
      <c r="G66" s="106" t="n"/>
      <c r="H66" s="106" t="n"/>
      <c r="I66" s="106" t="n"/>
      <c r="J66" s="106" t="n"/>
    </row>
    <row r="67">
      <c r="A67" s="106" t="n"/>
      <c r="B67" s="106" t="n"/>
      <c r="C67" s="106" t="n"/>
      <c r="D67" s="106" t="n"/>
      <c r="E67" s="106" t="n"/>
      <c r="F67" s="106" t="n"/>
      <c r="G67" s="106" t="n"/>
      <c r="H67" s="106" t="n"/>
      <c r="I67" s="106" t="n"/>
      <c r="J67" s="106" t="n"/>
    </row>
    <row r="68">
      <c r="A68" s="106" t="n"/>
      <c r="B68" s="106" t="n"/>
      <c r="C68" s="106" t="n"/>
      <c r="D68" s="106" t="n"/>
      <c r="E68" s="106" t="n"/>
      <c r="F68" s="106" t="n"/>
      <c r="G68" s="106" t="n"/>
      <c r="H68" s="106" t="n"/>
      <c r="I68" s="106" t="n"/>
      <c r="J68" s="106" t="n"/>
    </row>
    <row r="69">
      <c r="A69" s="106" t="n"/>
      <c r="B69" s="106" t="n"/>
      <c r="C69" s="106" t="n"/>
      <c r="D69" s="106" t="n"/>
      <c r="E69" s="106" t="n"/>
      <c r="F69" s="106" t="n"/>
      <c r="G69" s="106" t="n"/>
      <c r="H69" s="106" t="n"/>
      <c r="I69" s="106" t="n"/>
      <c r="J69" s="106" t="n"/>
    </row>
    <row r="70">
      <c r="A70" s="106" t="n"/>
      <c r="B70" s="106" t="n"/>
      <c r="C70" s="106" t="n"/>
      <c r="D70" s="106" t="n"/>
      <c r="E70" s="106" t="n"/>
      <c r="F70" s="106" t="n"/>
      <c r="G70" s="106" t="n"/>
      <c r="H70" s="106" t="n"/>
      <c r="I70" s="106" t="n"/>
      <c r="J70" s="106" t="n"/>
    </row>
    <row r="71">
      <c r="A71" s="106" t="n"/>
      <c r="B71" s="106" t="n"/>
      <c r="C71" s="106" t="n"/>
      <c r="D71" s="106" t="n"/>
      <c r="E71" s="106" t="n"/>
      <c r="F71" s="106" t="n"/>
      <c r="G71" s="106" t="n"/>
      <c r="H71" s="106" t="n"/>
      <c r="I71" s="106" t="n"/>
      <c r="J71" s="106" t="n"/>
    </row>
    <row r="72">
      <c r="A72" s="106" t="n"/>
      <c r="B72" s="106" t="n"/>
      <c r="C72" s="106" t="n"/>
      <c r="D72" s="106" t="n"/>
      <c r="E72" s="106" t="n"/>
      <c r="F72" s="106" t="n"/>
      <c r="G72" s="106" t="n"/>
      <c r="H72" s="106" t="n"/>
      <c r="I72" s="106" t="n"/>
      <c r="J72" s="106" t="n"/>
    </row>
    <row r="73">
      <c r="A73" s="106" t="n"/>
      <c r="B73" s="106" t="n"/>
      <c r="C73" s="106" t="n"/>
      <c r="D73" s="106" t="n"/>
      <c r="E73" s="106" t="n"/>
      <c r="F73" s="106" t="n"/>
      <c r="G73" s="106" t="n"/>
      <c r="H73" s="106" t="n"/>
      <c r="I73" s="106" t="n"/>
      <c r="J73" s="106" t="n"/>
    </row>
    <row r="74">
      <c r="A74" s="106" t="n"/>
      <c r="B74" s="106" t="n"/>
      <c r="C74" s="106" t="n"/>
      <c r="D74" s="106" t="n"/>
      <c r="E74" s="106" t="n"/>
      <c r="F74" s="106" t="n"/>
      <c r="G74" s="106" t="n"/>
      <c r="H74" s="106" t="n"/>
      <c r="I74" s="106" t="n"/>
      <c r="J74" s="106" t="n"/>
    </row>
    <row r="75">
      <c r="A75" s="106" t="n"/>
      <c r="B75" s="106" t="n"/>
      <c r="C75" s="106" t="n"/>
      <c r="D75" s="106" t="n"/>
      <c r="E75" s="106" t="n"/>
      <c r="F75" s="106" t="n"/>
      <c r="G75" s="106" t="n"/>
      <c r="H75" s="106" t="n"/>
      <c r="I75" s="106" t="n"/>
      <c r="J75" s="106" t="n"/>
    </row>
    <row r="76">
      <c r="A76" s="106" t="n"/>
      <c r="B76" s="106" t="n"/>
      <c r="C76" s="106" t="n"/>
      <c r="D76" s="106" t="n"/>
      <c r="E76" s="106" t="n"/>
      <c r="F76" s="106" t="n"/>
      <c r="G76" s="106" t="n"/>
      <c r="H76" s="106" t="n"/>
      <c r="I76" s="106" t="n"/>
      <c r="J76" s="106" t="n"/>
    </row>
    <row r="77">
      <c r="A77" s="106" t="n"/>
      <c r="B77" s="106" t="n"/>
      <c r="C77" s="106" t="n"/>
      <c r="D77" s="106" t="n"/>
      <c r="E77" s="106" t="n"/>
      <c r="F77" s="106" t="n"/>
      <c r="G77" s="106" t="n"/>
      <c r="H77" s="106" t="n"/>
      <c r="I77" s="106" t="n"/>
      <c r="J77" s="106" t="n"/>
    </row>
    <row r="78">
      <c r="A78" s="106" t="n"/>
      <c r="B78" s="106" t="n"/>
      <c r="C78" s="106" t="n"/>
      <c r="D78" s="106" t="n"/>
      <c r="E78" s="106" t="n"/>
      <c r="F78" s="106" t="n"/>
      <c r="G78" s="106" t="n"/>
      <c r="H78" s="106" t="n"/>
      <c r="I78" s="106" t="n"/>
      <c r="J78" s="106" t="n"/>
    </row>
    <row r="79">
      <c r="A79" s="106" t="n"/>
      <c r="B79" s="106" t="n"/>
      <c r="C79" s="106" t="n"/>
      <c r="D79" s="106" t="n"/>
      <c r="E79" s="106" t="n"/>
      <c r="F79" s="106" t="n"/>
      <c r="G79" s="106" t="n"/>
      <c r="H79" s="106" t="n"/>
      <c r="I79" s="106" t="n"/>
      <c r="J79" s="106" t="n"/>
    </row>
    <row r="80">
      <c r="A80" s="106" t="n"/>
      <c r="B80" s="106" t="n"/>
      <c r="C80" s="106" t="n"/>
      <c r="D80" s="106" t="n"/>
      <c r="E80" s="106" t="n"/>
      <c r="F80" s="106" t="n"/>
      <c r="G80" s="106" t="n"/>
      <c r="H80" s="106" t="n"/>
      <c r="I80" s="106" t="n"/>
      <c r="J80" s="106" t="n"/>
    </row>
    <row r="81">
      <c r="A81" s="106" t="n"/>
      <c r="B81" s="106" t="n"/>
      <c r="C81" s="106" t="n"/>
      <c r="D81" s="106" t="n"/>
      <c r="E81" s="106" t="n"/>
      <c r="F81" s="106" t="n"/>
      <c r="G81" s="106" t="n"/>
      <c r="H81" s="106" t="n"/>
      <c r="I81" s="106" t="n"/>
      <c r="J81" s="106" t="n"/>
    </row>
    <row r="82">
      <c r="A82" s="106" t="n"/>
      <c r="B82" s="106" t="n"/>
      <c r="C82" s="106" t="n"/>
      <c r="D82" s="106" t="n"/>
      <c r="E82" s="106" t="n"/>
      <c r="F82" s="106" t="n"/>
      <c r="G82" s="106" t="n"/>
      <c r="H82" s="106" t="n"/>
      <c r="I82" s="106" t="n"/>
      <c r="J82" s="106" t="n"/>
    </row>
    <row r="83">
      <c r="A83" s="106" t="n"/>
      <c r="B83" s="106" t="n"/>
      <c r="C83" s="106" t="n"/>
      <c r="D83" s="106" t="n"/>
      <c r="E83" s="106" t="n"/>
      <c r="F83" s="106" t="n"/>
      <c r="G83" s="106" t="n"/>
      <c r="H83" s="106" t="n"/>
      <c r="I83" s="106" t="n"/>
      <c r="J83" s="106" t="n"/>
    </row>
    <row r="84">
      <c r="A84" s="106" t="n"/>
      <c r="B84" s="106" t="n"/>
      <c r="C84" s="106" t="n"/>
      <c r="D84" s="106" t="n"/>
      <c r="E84" s="106" t="n"/>
      <c r="F84" s="106" t="n"/>
      <c r="G84" s="106" t="n"/>
      <c r="H84" s="106" t="n"/>
      <c r="I84" s="106" t="n"/>
      <c r="J84" s="106" t="n"/>
    </row>
    <row r="85">
      <c r="A85" s="106" t="n"/>
      <c r="B85" s="106" t="n"/>
      <c r="C85" s="106" t="n"/>
      <c r="D85" s="106" t="n"/>
      <c r="E85" s="106" t="n"/>
      <c r="F85" s="106" t="n"/>
      <c r="G85" s="106" t="n"/>
      <c r="H85" s="106" t="n"/>
      <c r="I85" s="106" t="n"/>
      <c r="J85" s="106" t="n"/>
    </row>
    <row r="86">
      <c r="A86" s="106" t="n"/>
      <c r="B86" s="106" t="n"/>
      <c r="C86" s="106" t="n"/>
      <c r="D86" s="106" t="n"/>
      <c r="E86" s="106" t="n"/>
      <c r="F86" s="106" t="n"/>
      <c r="G86" s="106" t="n"/>
      <c r="H86" s="106" t="n"/>
      <c r="I86" s="106" t="n"/>
      <c r="J86" s="106" t="n"/>
    </row>
    <row r="87">
      <c r="A87" s="106" t="n"/>
      <c r="B87" s="106" t="n"/>
      <c r="C87" s="106" t="n"/>
      <c r="D87" s="106" t="n"/>
      <c r="E87" s="106" t="n"/>
      <c r="F87" s="106" t="n"/>
      <c r="G87" s="106" t="n"/>
      <c r="H87" s="106" t="n"/>
      <c r="I87" s="106" t="n"/>
      <c r="J87" s="106" t="n"/>
    </row>
    <row r="88">
      <c r="A88" s="106" t="n"/>
      <c r="B88" s="106" t="n"/>
      <c r="C88" s="106" t="n"/>
      <c r="D88" s="106" t="n"/>
      <c r="E88" s="106" t="n"/>
      <c r="F88" s="106" t="n"/>
      <c r="G88" s="106" t="n"/>
      <c r="H88" s="106" t="n"/>
      <c r="I88" s="106" t="n"/>
      <c r="J88" s="106" t="n"/>
    </row>
    <row r="89">
      <c r="A89" s="106" t="n"/>
      <c r="B89" s="106" t="n"/>
      <c r="C89" s="106" t="n"/>
      <c r="D89" s="106" t="n"/>
      <c r="E89" s="106" t="n"/>
      <c r="F89" s="106" t="n"/>
      <c r="G89" s="106" t="n"/>
      <c r="H89" s="106" t="n"/>
      <c r="I89" s="106" t="n"/>
      <c r="J89" s="106" t="n"/>
    </row>
    <row r="90">
      <c r="A90" s="106" t="n"/>
      <c r="B90" s="106" t="n"/>
      <c r="C90" s="106" t="n"/>
      <c r="D90" s="106" t="n"/>
      <c r="E90" s="106" t="n"/>
      <c r="F90" s="106" t="n"/>
      <c r="G90" s="106" t="n"/>
      <c r="H90" s="106" t="n"/>
      <c r="I90" s="106" t="n"/>
      <c r="J90" s="106" t="n"/>
    </row>
    <row r="91">
      <c r="A91" s="106" t="n"/>
      <c r="B91" s="106" t="n"/>
      <c r="C91" s="106" t="n"/>
      <c r="D91" s="106" t="n"/>
      <c r="E91" s="106" t="n"/>
      <c r="F91" s="106" t="n"/>
      <c r="G91" s="106" t="n"/>
      <c r="H91" s="106" t="n"/>
      <c r="I91" s="106" t="n"/>
      <c r="J91" s="106" t="n"/>
    </row>
    <row r="92">
      <c r="A92" s="106" t="n"/>
      <c r="B92" s="106" t="n"/>
      <c r="C92" s="106" t="n"/>
      <c r="D92" s="106" t="n"/>
      <c r="E92" s="106" t="n"/>
      <c r="F92" s="106" t="n"/>
      <c r="G92" s="106" t="n"/>
      <c r="H92" s="106" t="n"/>
      <c r="I92" s="106" t="n"/>
      <c r="J92" s="106" t="n"/>
    </row>
    <row r="93">
      <c r="A93" s="106" t="n"/>
      <c r="B93" s="106" t="n"/>
      <c r="C93" s="106" t="n"/>
      <c r="D93" s="106" t="n"/>
      <c r="E93" s="106" t="n"/>
      <c r="F93" s="106" t="n"/>
      <c r="G93" s="106" t="n"/>
      <c r="H93" s="106" t="n"/>
      <c r="I93" s="106" t="n"/>
      <c r="J93" s="106" t="n"/>
    </row>
    <row r="94">
      <c r="A94" s="106" t="n"/>
      <c r="B94" s="106" t="n"/>
      <c r="C94" s="106" t="n"/>
      <c r="D94" s="106" t="n"/>
      <c r="E94" s="106" t="n"/>
      <c r="F94" s="106" t="n"/>
      <c r="G94" s="106" t="n"/>
      <c r="H94" s="106" t="n"/>
      <c r="I94" s="106" t="n"/>
      <c r="J94" s="106" t="n"/>
    </row>
    <row r="95">
      <c r="A95" s="106" t="n"/>
      <c r="B95" s="106" t="n"/>
      <c r="C95" s="106" t="n"/>
      <c r="D95" s="106" t="n"/>
      <c r="E95" s="106" t="n"/>
      <c r="F95" s="106" t="n"/>
      <c r="G95" s="106" t="n"/>
      <c r="H95" s="106" t="n"/>
      <c r="I95" s="106" t="n"/>
      <c r="J95" s="106" t="n"/>
    </row>
    <row r="96">
      <c r="A96" s="106" t="n"/>
      <c r="B96" s="106" t="n"/>
      <c r="C96" s="106" t="n"/>
      <c r="D96" s="106" t="n"/>
      <c r="E96" s="106" t="n"/>
      <c r="F96" s="106" t="n"/>
      <c r="G96" s="106" t="n"/>
      <c r="H96" s="106" t="n"/>
      <c r="I96" s="106" t="n"/>
      <c r="J96" s="106" t="n"/>
    </row>
    <row r="97">
      <c r="A97" s="106" t="n"/>
      <c r="B97" s="106" t="n"/>
      <c r="C97" s="106" t="n"/>
      <c r="D97" s="106" t="n"/>
      <c r="E97" s="106" t="n"/>
      <c r="F97" s="106" t="n"/>
      <c r="G97" s="106" t="n"/>
      <c r="H97" s="106" t="n"/>
      <c r="I97" s="106" t="n"/>
      <c r="J97" s="106" t="n"/>
    </row>
    <row r="98">
      <c r="A98" s="106" t="n"/>
      <c r="B98" s="106" t="n"/>
      <c r="C98" s="106" t="n"/>
      <c r="D98" s="106" t="n"/>
      <c r="E98" s="106" t="n"/>
      <c r="F98" s="106" t="n"/>
      <c r="G98" s="106" t="n"/>
      <c r="H98" s="106" t="n"/>
      <c r="I98" s="106" t="n"/>
      <c r="J98" s="106" t="n"/>
    </row>
    <row r="99">
      <c r="A99" s="106" t="n"/>
      <c r="B99" s="106" t="n"/>
      <c r="C99" s="106" t="n"/>
      <c r="D99" s="106" t="n"/>
      <c r="E99" s="106" t="n"/>
      <c r="F99" s="106" t="n"/>
      <c r="G99" s="106" t="n"/>
      <c r="H99" s="106" t="n"/>
      <c r="I99" s="106" t="n"/>
      <c r="J99" s="106" t="n"/>
    </row>
    <row r="100">
      <c r="A100" s="106" t="n"/>
      <c r="B100" s="106" t="n"/>
      <c r="C100" s="106" t="n"/>
      <c r="D100" s="106" t="n"/>
      <c r="E100" s="106" t="n"/>
      <c r="F100" s="106" t="n"/>
      <c r="G100" s="106" t="n"/>
      <c r="H100" s="106" t="n"/>
      <c r="I100" s="106" t="n"/>
      <c r="J100" s="106" t="n"/>
    </row>
  </sheetData>
  <mergeCells count="1">
    <mergeCell ref="A1:P1"/>
  </mergeCells>
  <conditionalFormatting sqref="B6:P6 B12:Q12">
    <cfRule type="cellIs" rank="0" priority="2" equalAverage="0" operator="equal" aboveAverage="0" dxfId="0" text="" percent="0" bottom="0">
      <formula>101</formula>
    </cfRule>
    <cfRule type="cellIs" rank="0" priority="3" equalAverage="0" operator="equal" aboveAverage="0" dxfId="1" text="" percent="0" bottom="0">
      <formula>102</formula>
    </cfRule>
    <cfRule type="cellIs" rank="0" priority="4" equalAverage="0" operator="equal" aboveAverage="0" dxfId="2" text="" percent="0" bottom="0">
      <formula>111</formula>
    </cfRule>
    <cfRule type="cellIs" rank="0" priority="5" equalAverage="0" operator="equal" aboveAverage="0" dxfId="3" text="" percent="0" bottom="0">
      <formula>112</formula>
    </cfRule>
    <cfRule type="cellIs" rank="0" priority="6" equalAverage="0" operator="equal" aboveAverage="0" dxfId="4" text="" percent="0" bottom="0">
      <formula>121</formula>
    </cfRule>
    <cfRule type="cellIs" rank="0" priority="7" equalAverage="0" operator="equal" aboveAverage="0" dxfId="0" text="" percent="0" bottom="0">
      <formula>6101</formula>
    </cfRule>
    <cfRule type="cellIs" rank="0" priority="8" equalAverage="0" operator="equal" aboveAverage="0" dxfId="1" text="" percent="0" bottom="0">
      <formula>6102</formula>
    </cfRule>
    <cfRule type="cellIs" rank="0" priority="9" equalAverage="0" operator="equal" aboveAverage="0" dxfId="2" text="" percent="0" bottom="0">
      <formula>6111</formula>
    </cfRule>
    <cfRule type="cellIs" rank="0" priority="10" equalAverage="0" operator="equal" aboveAverage="0" dxfId="3" text="" percent="0" bottom="0">
      <formula>6112</formula>
    </cfRule>
    <cfRule type="cellIs" rank="0" priority="11" equalAverage="0" operator="equal" aboveAverage="0" dxfId="4" text="" percent="0" bottom="0">
      <formula>6121</formula>
    </cfRule>
    <cfRule type="cellIs" rank="0" priority="12" equalAverage="0" operator="equal" aboveAverage="0" dxfId="0" text="" percent="0" bottom="0">
      <formula>7101</formula>
    </cfRule>
    <cfRule type="cellIs" rank="0" priority="13" equalAverage="0" operator="equal" aboveAverage="0" dxfId="1" text="" percent="0" bottom="0">
      <formula>7102</formula>
    </cfRule>
    <cfRule type="cellIs" rank="0" priority="14" equalAverage="0" operator="equal" aboveAverage="0" dxfId="2" text="" percent="0" bottom="0">
      <formula>7111</formula>
    </cfRule>
    <cfRule type="cellIs" rank="0" priority="15" equalAverage="0" operator="equal" aboveAverage="0" dxfId="3" text="" percent="0" bottom="0">
      <formula>7112</formula>
    </cfRule>
    <cfRule type="cellIs" rank="0" priority="16" equalAverage="0" operator="equal" aboveAverage="0" dxfId="4" text="" percent="0" bottom="0">
      <formula>7121</formula>
    </cfRule>
    <cfRule type="cellIs" rank="0" priority="17" equalAverage="0" operator="equal" aboveAverage="0" dxfId="5" text="" percent="0" bottom="0">
      <formula>"X_AM"</formula>
    </cfRule>
    <cfRule type="cellIs" rank="0" priority="18" equalAverage="0" operator="equal" aboveAverage="0" dxfId="5" text="" percent="0" bottom="0">
      <formula>"X_PM"</formula>
    </cfRule>
    <cfRule type="cellIs" rank="0" priority="19" equalAverage="0" operator="equal" aboveAverage="0" dxfId="6" text="" percent="0" bottom="0">
      <formula>"X_10"</formula>
    </cfRule>
    <cfRule type="cellIs" rank="0" priority="20" equalAverage="0" operator="equal" aboveAverage="0" dxfId="7" text="" percent="0" bottom="0">
      <formula>"CN"</formula>
    </cfRule>
    <cfRule type="cellIs" rank="0" priority="21" equalAverage="0" operator="equal" aboveAverage="0" dxfId="7" text="" percent="0" bottom="0">
      <formula>"JC"</formula>
    </cfRule>
    <cfRule type="cellIs" rank="0" priority="22" equalAverage="0" operator="equal" aboveAverage="0" dxfId="8" text="" percent="0" bottom="0">
      <formula>"RH"</formula>
    </cfRule>
    <cfRule type="cellIs" rank="0" priority="23" equalAverage="0" operator="equal" aboveAverage="0" dxfId="9" text="" percent="0" bottom="0">
      <formula>"CH"</formula>
    </cfRule>
    <cfRule type="cellIs" rank="0" priority="24" equalAverage="0" operator="equal" aboveAverage="0" dxfId="10" text="" percent="0" bottom="0">
      <formula>"RR"</formula>
    </cfRule>
    <cfRule type="cellIs" rank="0" priority="25" equalAverage="0" operator="equal" aboveAverage="0" dxfId="11" text="" percent="0" bottom="0">
      <formula>"ZM"</formula>
    </cfRule>
  </conditionalFormatting>
  <conditionalFormatting sqref="B56 B57">
    <cfRule type="cellIs" rank="0" priority="26" equalAverage="0" operator="greaterThan" aboveAverage="0" dxfId="12" text="" percent="0" bottom="0">
      <formula>160</formula>
    </cfRule>
  </conditionalFormatting>
  <conditionalFormatting sqref="B6:Q6">
    <cfRule type="cellIs" priority="26" operator="equal" dxfId="13">
      <formula>"CV"</formula>
    </cfRule>
    <cfRule type="cellIs" priority="27" operator="equal" dxfId="14">
      <formula>"AG"</formula>
    </cfRule>
  </conditionalFormatting>
  <conditionalFormatting sqref="B12:R12">
    <cfRule type="cellIs" priority="28" operator="equal" dxfId="13">
      <formula>"CV"</formula>
    </cfRule>
    <cfRule type="cellIs" priority="29" operator="equal" dxfId="14">
      <formula>"AG"</formula>
    </cfRule>
  </conditionalFormatting>
  <conditionalFormatting sqref="B55">
    <cfRule type="cellIs" priority="30" operator="greaterThan" dxfId="15">
      <formula>160</formula>
    </cfRule>
  </conditionalFormatting>
  <conditionalFormatting sqref="C55">
    <cfRule type="cellIs" priority="31" operator="notEqual" dxfId="16">
      <formula>4</formula>
    </cfRule>
  </conditionalFormatting>
  <conditionalFormatting sqref="D55">
    <cfRule type="cellIs" priority="32" operator="notEqual" dxfId="16">
      <formula>4</formula>
    </cfRule>
  </conditionalFormatting>
  <conditionalFormatting sqref="E55">
    <cfRule type="cellIs" priority="33" operator="notEqual" dxfId="16">
      <formula>1</formula>
    </cfRule>
  </conditionalFormatting>
  <conditionalFormatting sqref="H55">
    <cfRule type="cellIs" priority="34" operator="equal" dxfId="17">
      <formula>"✓ OK"</formula>
    </cfRule>
    <cfRule type="cellIs" priority="35" operator="notEqual" dxfId="15">
      <formula>"✓ OK"</formula>
    </cfRule>
  </conditionalFormatting>
  <conditionalFormatting sqref="B56">
    <cfRule type="cellIs" priority="36" operator="greaterThan" dxfId="15">
      <formula>160</formula>
    </cfRule>
  </conditionalFormatting>
  <conditionalFormatting sqref="C56">
    <cfRule type="cellIs" priority="37" operator="notEqual" dxfId="16">
      <formula>4</formula>
    </cfRule>
  </conditionalFormatting>
  <conditionalFormatting sqref="D56">
    <cfRule type="cellIs" priority="38" operator="notEqual" dxfId="16">
      <formula>4</formula>
    </cfRule>
  </conditionalFormatting>
  <conditionalFormatting sqref="E56">
    <cfRule type="cellIs" priority="39" operator="notEqual" dxfId="16">
      <formula>1</formula>
    </cfRule>
  </conditionalFormatting>
  <conditionalFormatting sqref="H56">
    <cfRule type="cellIs" priority="40" operator="equal" dxfId="17">
      <formula>"✓ OK"</formula>
    </cfRule>
    <cfRule type="cellIs" priority="41" operator="notEqual" dxfId="15">
      <formula>"✓ OK"</formula>
    </cfRule>
  </conditionalFormatting>
  <dataValidations count="1">
    <dataValidation sqref="B6:Q6 B12:R12" showDropDown="0" showInputMessage="0" showErrorMessage="0" allowBlank="1" type="list">
      <formula1>"101,102,111,112,121,6101,6102,6111,6112,6121,7101,7102,7111,7112,7121,X_AM,X_PM,X_10,AG,CN,JC,RH,CH,RR,CV,ZM"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2026-01-31T08:42:20Z</dcterms:created>
  <dcterms:modified xsi:type="dcterms:W3CDTF">2026-01-31T22:42:12Z</dcterms:modified>
  <cp:revision>2</cp:revision>
</cp:coreProperties>
</file>